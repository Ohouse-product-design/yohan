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설정" sheetId="2" state="visible" r:id="rId2"/>
    <sheet name="멤버" sheetId="3" state="visible" r:id="rId3"/>
    <sheet name="사용내역" sheetId="4" state="visible" r:id="rId4"/>
    <sheet name="카테고리별" sheetId="5" state="visible" r:id="rId5"/>
  </sheets>
  <definedNames>
    <definedName name="총예산">설정!$B$2</definedName>
    <definedName name="기준일">설정!$B$5</definedName>
    <definedName name="총개월">설정!$B$6</definedName>
    <definedName name="경과개월">설정!$B$7</definedName>
    <definedName name="남은개월">설정!$B$8</definedName>
    <definedName name="경과율">설정!$B$9</definedName>
    <definedName name="멤버목록">멤버!$A$5:$A$34</definedName>
    <definedName name="사용_날짜">사용내역!$A$5:$A$504</definedName>
    <definedName name="사용_이름">사용내역!$B$5:$B$504</definedName>
    <definedName name="사용_금액">사용내역!$E$5:$E$504</definedName>
    <definedName name="사용_함께">사용내역!$G$5:$G$504</definedName>
    <definedName name="사용_인원">사용내역!$H$5:$H$504</definedName>
    <definedName name="사용_1인당">사용내역!$I$5:$I$504</definedName>
    <definedName name="인당_권장_누적">대시보드!$B$15</definedName>
    <definedName name="인당_남은가능">대시보드!$B$16</definedName>
    <definedName name="인당_월권장">대시보드!$B$17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원&quot;;-#,##0&quot;원&quot;;"/>
    <numFmt numFmtId="165" formatCode="yyyy-mm-dd"/>
    <numFmt numFmtId="166" formatCode="0.0%"/>
    <numFmt numFmtId="167" formatCode="0&quot;명&quot;"/>
    <numFmt numFmtId="168" formatCode="0.00&quot;x&quot;"/>
  </numFmts>
  <fonts count="8">
    <font>
      <name val="Calibri"/>
      <family val="2"/>
      <color theme="1"/>
      <sz val="11"/>
      <scheme val="minor"/>
    </font>
    <font>
      <name val="Pretendard"/>
      <b val="1"/>
      <color rgb="00111827"/>
      <sz val="18"/>
    </font>
    <font>
      <name val="Pretendard"/>
      <b val="1"/>
      <color rgb="00111827"/>
      <sz val="11"/>
    </font>
    <font>
      <name val="Pretendard"/>
      <color rgb="00111827"/>
      <sz val="11"/>
    </font>
    <font>
      <name val="Pretendard"/>
      <color rgb="006B7280"/>
      <sz val="10"/>
    </font>
    <font>
      <name val="Pretendard"/>
      <b val="1"/>
      <color rgb="00FFFFFF"/>
      <sz val="11"/>
    </font>
    <font>
      <name val="Pretendard"/>
      <b val="1"/>
      <color rgb="00111827"/>
      <sz val="13"/>
    </font>
    <font>
      <name val="Pretendard"/>
      <b val="1"/>
      <color rgb="00111827"/>
      <sz val="12"/>
    </font>
  </fonts>
  <fills count="8">
    <fill>
      <patternFill/>
    </fill>
    <fill>
      <patternFill patternType="gray125"/>
    </fill>
    <fill>
      <patternFill patternType="solid">
        <fgColor rgb="00F3F4F6"/>
      </patternFill>
    </fill>
    <fill>
      <patternFill patternType="solid">
        <fgColor rgb="00EFF6FF"/>
      </patternFill>
    </fill>
    <fill>
      <patternFill patternType="solid">
        <fgColor rgb="00F9FAFB"/>
      </patternFill>
    </fill>
    <fill>
      <patternFill patternType="solid">
        <fgColor rgb="001F2937"/>
      </patternFill>
    </fill>
    <fill>
      <patternFill patternType="solid">
        <fgColor rgb="00FEF3C7"/>
      </patternFill>
    </fill>
    <fill>
      <patternFill patternType="solid">
        <fgColor rgb="00E0F2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left" vertical="center" indent="1"/>
    </xf>
    <xf numFmtId="164" fontId="7" fillId="6" borderId="1" applyAlignment="1" pivotButton="0" quotePrefix="0" xfId="0">
      <alignment horizontal="right" vertical="center" indent="1"/>
    </xf>
    <xf numFmtId="166" fontId="7" fillId="6" borderId="1" applyAlignment="1" pivotButton="0" quotePrefix="0" xfId="0">
      <alignment horizontal="right" vertical="center" indent="1"/>
    </xf>
    <xf numFmtId="166" fontId="7" fillId="4" borderId="1" applyAlignment="1" pivotButton="0" quotePrefix="0" xfId="0">
      <alignment horizontal="right" vertical="center" indent="1"/>
    </xf>
    <xf numFmtId="167" fontId="7" fillId="4" borderId="1" applyAlignment="1" pivotButton="0" quotePrefix="0" xfId="0">
      <alignment horizontal="right" vertical="center" indent="1"/>
    </xf>
    <xf numFmtId="0" fontId="4" fillId="0" borderId="0" applyAlignment="1" pivotButton="0" quotePrefix="0" xfId="0">
      <alignment horizontal="left" vertical="center" wrapText="1"/>
    </xf>
    <xf numFmtId="164" fontId="7" fillId="7" borderId="1" applyAlignment="1" pivotButton="0" quotePrefix="0" xfId="0">
      <alignment horizontal="right" vertical="center" indent="1"/>
    </xf>
    <xf numFmtId="0" fontId="4" fillId="0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indent="1"/>
    </xf>
    <xf numFmtId="164" fontId="3" fillId="0" borderId="1" applyAlignment="1" pivotButton="0" quotePrefix="0" xfId="0">
      <alignment horizontal="right" vertical="center" indent="1"/>
    </xf>
    <xf numFmtId="166" fontId="3" fillId="0" borderId="1" applyAlignment="1" pivotButton="0" quotePrefix="0" xfId="0">
      <alignment horizontal="right" vertical="center" indent="1"/>
    </xf>
    <xf numFmtId="168" fontId="3" fillId="0" borderId="1" applyAlignment="1" pivotButton="0" quotePrefix="0" xfId="0">
      <alignment horizontal="right" vertical="center" indent="1"/>
    </xf>
    <xf numFmtId="0" fontId="3" fillId="0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 indent="1"/>
    </xf>
    <xf numFmtId="0" fontId="4" fillId="0" borderId="0" pivotButton="0" quotePrefix="0" xfId="0"/>
    <xf numFmtId="165" fontId="3" fillId="3" borderId="1" applyAlignment="1" pivotButton="0" quotePrefix="0" xfId="0">
      <alignment horizontal="right" vertical="center" indent="1"/>
    </xf>
    <xf numFmtId="165" fontId="3" fillId="4" borderId="1" applyAlignment="1" pivotButton="0" quotePrefix="0" xfId="0">
      <alignment horizontal="right" vertical="center" indent="1"/>
    </xf>
    <xf numFmtId="1" fontId="3" fillId="4" borderId="1" applyAlignment="1" pivotButton="0" quotePrefix="0" xfId="0">
      <alignment horizontal="right" vertical="center" indent="1"/>
    </xf>
    <xf numFmtId="166" fontId="3" fillId="4" borderId="1" applyAlignment="1" pivotButton="0" quotePrefix="0" xfId="0">
      <alignment horizontal="right" vertical="center" indent="1"/>
    </xf>
    <xf numFmtId="0" fontId="3" fillId="3" borderId="1" applyAlignment="1" pivotButton="0" quotePrefix="0" xfId="0">
      <alignment horizontal="left" vertical="center" indent="1"/>
    </xf>
    <xf numFmtId="165" fontId="3" fillId="3" borderId="1" applyAlignment="1" pivotButton="0" quotePrefix="0" xfId="0">
      <alignment horizontal="center" vertical="center"/>
    </xf>
    <xf numFmtId="167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 indent="1"/>
    </xf>
    <xf numFmtId="164" fontId="2" fillId="2" borderId="1" applyAlignment="1" pivotButton="0" quotePrefix="0" xfId="0">
      <alignment horizontal="right" vertical="center" indent="1"/>
    </xf>
    <xf numFmtId="166" fontId="2" fillId="2" borderId="1" applyAlignment="1" pivotButton="0" quotePrefix="0" xfId="0">
      <alignment horizontal="right" vertical="center" indent="1"/>
    </xf>
  </cellXfs>
  <cellStyles count="1">
    <cellStyle name="Normal" xfId="0" builtinId="0" hidden="0"/>
  </cellStyles>
  <dxfs count="6">
    <dxf>
      <font>
        <name val="Pretendard"/>
        <b val="1"/>
        <color rgb="00991B1B"/>
      </font>
      <fill>
        <patternFill patternType="solid">
          <fgColor rgb="00FECACA"/>
        </patternFill>
      </fill>
    </dxf>
    <dxf>
      <font>
        <name val="Pretendard"/>
        <b val="1"/>
        <color rgb="0092400E"/>
      </font>
      <fill>
        <patternFill patternType="solid">
          <fgColor rgb="00FEF3C7"/>
        </patternFill>
      </fill>
    </dxf>
    <dxf>
      <font>
        <name val="Pretendard"/>
        <b val="1"/>
        <color rgb="009A3412"/>
      </font>
      <fill>
        <patternFill patternType="solid">
          <fgColor rgb="00FED7AA"/>
        </patternFill>
      </fill>
    </dxf>
    <dxf>
      <font>
        <name val="Pretendard"/>
        <color rgb="00166534"/>
      </font>
      <fill>
        <patternFill patternType="solid">
          <fgColor rgb="00DCFCE7"/>
        </patternFill>
      </fill>
    </dxf>
    <dxf>
      <font>
        <name val="Pretendard"/>
        <color rgb="006B7280"/>
      </font>
      <fill>
        <patternFill patternType="solid">
          <fgColor rgb="00F3F4F6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2" customWidth="1" min="3" max="3"/>
    <col width="12" customWidth="1" min="4" max="4"/>
    <col width="12" customWidth="1" min="5" max="5"/>
    <col width="14" customWidth="1" min="6" max="6"/>
  </cols>
  <sheetData>
    <row r="1" ht="32" customHeight="1">
      <c r="A1" s="1" t="inlineStr">
        <is>
          <t>Product Design TTB 예산 대시보드</t>
        </is>
      </c>
    </row>
    <row r="3">
      <c r="A3" s="2" t="inlineStr">
        <is>
          <t>① 전체 예산 현황</t>
        </is>
      </c>
    </row>
    <row r="5">
      <c r="A5" s="3" t="inlineStr">
        <is>
          <t>총 예산</t>
        </is>
      </c>
      <c r="B5" s="4">
        <f>총예산</f>
        <v/>
      </c>
    </row>
    <row r="6">
      <c r="A6" s="3" t="inlineStr">
        <is>
          <t>총 사용액</t>
        </is>
      </c>
      <c r="B6" s="4">
        <f>SUMPRODUCT((사용_금액&lt;&gt;"")*N(사용_금액))</f>
        <v/>
      </c>
    </row>
    <row r="7">
      <c r="A7" s="3" t="inlineStr">
        <is>
          <t>남은 예산</t>
        </is>
      </c>
      <c r="B7" s="4">
        <f>B5-B6</f>
        <v/>
      </c>
    </row>
    <row r="8">
      <c r="A8" s="3" t="inlineStr">
        <is>
          <t>사용률</t>
        </is>
      </c>
      <c r="B8" s="5">
        <f>IFERROR(B6/B5,0)</f>
        <v/>
      </c>
    </row>
    <row r="9">
      <c r="A9" s="3" t="inlineStr">
        <is>
          <t>기간 경과율</t>
        </is>
      </c>
      <c r="B9" s="6">
        <f>경과율</f>
        <v/>
      </c>
    </row>
    <row r="10">
      <c r="A10" s="3" t="inlineStr">
        <is>
          <t>팀 인원 수</t>
        </is>
      </c>
      <c r="B10" s="7">
        <f>COUNTA(멤버!$A$5:$A$34)</f>
        <v/>
      </c>
    </row>
    <row r="12">
      <c r="A12" s="2" t="inlineStr">
        <is>
          <t>② 인당 사용 가이드라인 (남은 기간 기준)</t>
        </is>
      </c>
    </row>
    <row r="13" ht="32" customHeight="1">
      <c r="A13" s="8" t="inlineStr">
        <is>
          <t>💡 고정 할당이 아닙니다. 팀 비용으로 그때그때 사용할 때, 지금까지·앞으로 인당 어느 정도가 적정한지 보여주는 참고값입니다.</t>
        </is>
      </c>
    </row>
    <row r="15">
      <c r="A15" s="3" t="inlineStr">
        <is>
          <t>📍 현 시점 인당 권장 누적 사용액</t>
        </is>
      </c>
      <c r="B15" s="9">
        <f>IFERROR(총예산*경과율/B10,0)</f>
        <v/>
      </c>
      <c r="C15" s="10" t="inlineStr">
        <is>
          <t>지금까지 페이스대로 썼다면 인당 약 이 정도까지 쓴 셈</t>
        </is>
      </c>
    </row>
    <row r="16">
      <c r="A16" s="3" t="inlineStr">
        <is>
          <t>📍 남은 기간 인당 사용 가능액</t>
        </is>
      </c>
      <c r="B16" s="9">
        <f>IFERROR(B7/B10,0)</f>
        <v/>
      </c>
      <c r="C16" s="10" t="inlineStr">
        <is>
          <t>남은 예산을 인원수로 나눈 값 (참고)</t>
        </is>
      </c>
    </row>
    <row r="17">
      <c r="A17" s="3" t="inlineStr">
        <is>
          <t>📍 인당 월 권장 사용액 (남은 기간)</t>
        </is>
      </c>
      <c r="B17" s="9">
        <f>IFERROR(B7/B10/남은개월,0)</f>
        <v/>
      </c>
      <c r="C17" s="10" t="inlineStr">
        <is>
          <t>남은 기간 동안 한 달에 인당 약 이 정도씩 쓰면 적정</t>
        </is>
      </c>
    </row>
    <row r="18">
      <c r="A18" s="3" t="inlineStr">
        <is>
          <t>📍 팀 전체 월 권장 사용액 (남은 기간)</t>
        </is>
      </c>
      <c r="B18" s="9">
        <f>IFERROR(B7/남은개월,0)</f>
        <v/>
      </c>
      <c r="C18" s="10" t="inlineStr">
        <is>
          <t>팀 전체로 한 달에 약 이 정도까지 쓰면 적정</t>
        </is>
      </c>
    </row>
    <row r="21">
      <c r="A21" s="2" t="inlineStr">
        <is>
          <t>③ 사람별 사용 현황 (참여 기준 균등 분담)</t>
        </is>
      </c>
    </row>
    <row r="22" ht="42" customHeight="1">
      <c r="A22" s="8" t="inlineStr">
        <is>
          <t>💡 결제자가 아니어도 '함께한 디자이너'에 이름이 들어간 건은 1인당 금액으로 분담됩니다. 🔴 권장 누적 대비 1.5배 초과 = 빨강, 🟠 1.0~1.5배 = 주황, 🟢 0.5~1.0배 = 초록, ⚪ 0.5배 미만 = 회색.</t>
        </is>
      </c>
    </row>
    <row r="24" ht="28" customHeight="1">
      <c r="A24" s="11" t="inlineStr">
        <is>
          <t>이름</t>
        </is>
      </c>
      <c r="B24" s="11" t="inlineStr">
        <is>
          <t>사용액</t>
        </is>
      </c>
      <c r="C24" s="11" t="inlineStr">
        <is>
          <t>비중</t>
        </is>
      </c>
      <c r="D24" s="11" t="inlineStr">
        <is>
          <t>평균 대비</t>
        </is>
      </c>
      <c r="E24" s="11" t="inlineStr">
        <is>
          <t>권장 대비</t>
        </is>
      </c>
      <c r="F24" s="11" t="inlineStr">
        <is>
          <t>상태</t>
        </is>
      </c>
    </row>
    <row r="25">
      <c r="A25" s="12">
        <f>IF(멤버!A5="","",멤버!A5)</f>
        <v/>
      </c>
      <c r="B25" s="13">
        <f>IF(A25="","",IFERROR(SUMPRODUCT((사용_이름&lt;&gt;"")*((A25=사용_이름)+((A25&lt;&gt;사용_이름)*ISNUMBER(SEARCH(","&amp;SUBSTITUTE(A25," ","")&amp;",",","&amp;SUBSTITUTE(사용_함께&amp;""," ","")&amp;","))))*IFERROR(N(사용_1인당),0)),0))</f>
        <v/>
      </c>
      <c r="C25" s="14">
        <f>IFERROR(IF(A25="","",B25/$B$6),"")</f>
        <v/>
      </c>
      <c r="D25" s="15">
        <f>IFERROR(IF(OR(A25="",$B$6=0),"",B25/($B$6/$B$10)),"")</f>
        <v/>
      </c>
      <c r="E25" s="15">
        <f>IFERROR(IF(OR(A25="",인당_권장_누적=0),"",B25/인당_권장_누적),"")</f>
        <v/>
      </c>
      <c r="F25" s="16">
        <f>IF(A25="","",IF(NOT(ISNUMBER(E25)),"-",IF(E25&gt;1.5,"🔴 과다",IF(E25&gt;=1,"🟠 주의",IF(E25&gt;=0.5,"🟢 정상","⚪ 여유")))))</f>
        <v/>
      </c>
    </row>
    <row r="26">
      <c r="A26" s="12">
        <f>IF(멤버!A6="","",멤버!A6)</f>
        <v/>
      </c>
      <c r="B26" s="13">
        <f>IF(A26="","",IFERROR(SUMPRODUCT((사용_이름&lt;&gt;"")*((A26=사용_이름)+((A26&lt;&gt;사용_이름)*ISNUMBER(SEARCH(","&amp;SUBSTITUTE(A26," ","")&amp;",",","&amp;SUBSTITUTE(사용_함께&amp;""," ","")&amp;","))))*IFERROR(N(사용_1인당),0)),0))</f>
        <v/>
      </c>
      <c r="C26" s="14">
        <f>IFERROR(IF(A26="","",B26/$B$6),"")</f>
        <v/>
      </c>
      <c r="D26" s="15">
        <f>IFERROR(IF(OR(A26="",$B$6=0),"",B26/($B$6/$B$10)),"")</f>
        <v/>
      </c>
      <c r="E26" s="15">
        <f>IFERROR(IF(OR(A26="",인당_권장_누적=0),"",B26/인당_권장_누적),"")</f>
        <v/>
      </c>
      <c r="F26" s="16">
        <f>IF(A26="","",IF(NOT(ISNUMBER(E26)),"-",IF(E26&gt;1.5,"🔴 과다",IF(E26&gt;=1,"🟠 주의",IF(E26&gt;=0.5,"🟢 정상","⚪ 여유")))))</f>
        <v/>
      </c>
    </row>
    <row r="27">
      <c r="A27" s="12">
        <f>IF(멤버!A7="","",멤버!A7)</f>
        <v/>
      </c>
      <c r="B27" s="13">
        <f>IF(A27="","",IFERROR(SUMPRODUCT((사용_이름&lt;&gt;"")*((A27=사용_이름)+((A27&lt;&gt;사용_이름)*ISNUMBER(SEARCH(","&amp;SUBSTITUTE(A27," ","")&amp;",",","&amp;SUBSTITUTE(사용_함께&amp;""," ","")&amp;","))))*IFERROR(N(사용_1인당),0)),0))</f>
        <v/>
      </c>
      <c r="C27" s="14">
        <f>IFERROR(IF(A27="","",B27/$B$6),"")</f>
        <v/>
      </c>
      <c r="D27" s="15">
        <f>IFERROR(IF(OR(A27="",$B$6=0),"",B27/($B$6/$B$10)),"")</f>
        <v/>
      </c>
      <c r="E27" s="15">
        <f>IFERROR(IF(OR(A27="",인당_권장_누적=0),"",B27/인당_권장_누적),"")</f>
        <v/>
      </c>
      <c r="F27" s="16">
        <f>IF(A27="","",IF(NOT(ISNUMBER(E27)),"-",IF(E27&gt;1.5,"🔴 과다",IF(E27&gt;=1,"🟠 주의",IF(E27&gt;=0.5,"🟢 정상","⚪ 여유")))))</f>
        <v/>
      </c>
    </row>
    <row r="28">
      <c r="A28" s="12">
        <f>IF(멤버!A8="","",멤버!A8)</f>
        <v/>
      </c>
      <c r="B28" s="13">
        <f>IF(A28="","",IFERROR(SUMPRODUCT((사용_이름&lt;&gt;"")*((A28=사용_이름)+((A28&lt;&gt;사용_이름)*ISNUMBER(SEARCH(","&amp;SUBSTITUTE(A28," ","")&amp;",",","&amp;SUBSTITUTE(사용_함께&amp;""," ","")&amp;","))))*IFERROR(N(사용_1인당),0)),0))</f>
        <v/>
      </c>
      <c r="C28" s="14">
        <f>IFERROR(IF(A28="","",B28/$B$6),"")</f>
        <v/>
      </c>
      <c r="D28" s="15">
        <f>IFERROR(IF(OR(A28="",$B$6=0),"",B28/($B$6/$B$10)),"")</f>
        <v/>
      </c>
      <c r="E28" s="15">
        <f>IFERROR(IF(OR(A28="",인당_권장_누적=0),"",B28/인당_권장_누적),"")</f>
        <v/>
      </c>
      <c r="F28" s="16">
        <f>IF(A28="","",IF(NOT(ISNUMBER(E28)),"-",IF(E28&gt;1.5,"🔴 과다",IF(E28&gt;=1,"🟠 주의",IF(E28&gt;=0.5,"🟢 정상","⚪ 여유")))))</f>
        <v/>
      </c>
    </row>
    <row r="29">
      <c r="A29" s="12">
        <f>IF(멤버!A9="","",멤버!A9)</f>
        <v/>
      </c>
      <c r="B29" s="13">
        <f>IF(A29="","",IFERROR(SUMPRODUCT((사용_이름&lt;&gt;"")*((A29=사용_이름)+((A29&lt;&gt;사용_이름)*ISNUMBER(SEARCH(","&amp;SUBSTITUTE(A29," ","")&amp;",",","&amp;SUBSTITUTE(사용_함께&amp;""," ","")&amp;","))))*IFERROR(N(사용_1인당),0)),0))</f>
        <v/>
      </c>
      <c r="C29" s="14">
        <f>IFERROR(IF(A29="","",B29/$B$6),"")</f>
        <v/>
      </c>
      <c r="D29" s="15">
        <f>IFERROR(IF(OR(A29="",$B$6=0),"",B29/($B$6/$B$10)),"")</f>
        <v/>
      </c>
      <c r="E29" s="15">
        <f>IFERROR(IF(OR(A29="",인당_권장_누적=0),"",B29/인당_권장_누적),"")</f>
        <v/>
      </c>
      <c r="F29" s="16">
        <f>IF(A29="","",IF(NOT(ISNUMBER(E29)),"-",IF(E29&gt;1.5,"🔴 과다",IF(E29&gt;=1,"🟠 주의",IF(E29&gt;=0.5,"🟢 정상","⚪ 여유")))))</f>
        <v/>
      </c>
    </row>
    <row r="30">
      <c r="A30" s="12">
        <f>IF(멤버!A10="","",멤버!A10)</f>
        <v/>
      </c>
      <c r="B30" s="13">
        <f>IF(A30="","",IFERROR(SUMPRODUCT((사용_이름&lt;&gt;"")*((A30=사용_이름)+((A30&lt;&gt;사용_이름)*ISNUMBER(SEARCH(","&amp;SUBSTITUTE(A30," ","")&amp;",",","&amp;SUBSTITUTE(사용_함께&amp;""," ","")&amp;","))))*IFERROR(N(사용_1인당),0)),0))</f>
        <v/>
      </c>
      <c r="C30" s="14">
        <f>IFERROR(IF(A30="","",B30/$B$6),"")</f>
        <v/>
      </c>
      <c r="D30" s="15">
        <f>IFERROR(IF(OR(A30="",$B$6=0),"",B30/($B$6/$B$10)),"")</f>
        <v/>
      </c>
      <c r="E30" s="15">
        <f>IFERROR(IF(OR(A30="",인당_권장_누적=0),"",B30/인당_권장_누적),"")</f>
        <v/>
      </c>
      <c r="F30" s="16">
        <f>IF(A30="","",IF(NOT(ISNUMBER(E30)),"-",IF(E30&gt;1.5,"🔴 과다",IF(E30&gt;=1,"🟠 주의",IF(E30&gt;=0.5,"🟢 정상","⚪ 여유")))))</f>
        <v/>
      </c>
    </row>
    <row r="31">
      <c r="A31" s="12">
        <f>IF(멤버!A11="","",멤버!A11)</f>
        <v/>
      </c>
      <c r="B31" s="13">
        <f>IF(A31="","",IFERROR(SUMPRODUCT((사용_이름&lt;&gt;"")*((A31=사용_이름)+((A31&lt;&gt;사용_이름)*ISNUMBER(SEARCH(","&amp;SUBSTITUTE(A31," ","")&amp;",",","&amp;SUBSTITUTE(사용_함께&amp;""," ","")&amp;","))))*IFERROR(N(사용_1인당),0)),0))</f>
        <v/>
      </c>
      <c r="C31" s="14">
        <f>IFERROR(IF(A31="","",B31/$B$6),"")</f>
        <v/>
      </c>
      <c r="D31" s="15">
        <f>IFERROR(IF(OR(A31="",$B$6=0),"",B31/($B$6/$B$10)),"")</f>
        <v/>
      </c>
      <c r="E31" s="15">
        <f>IFERROR(IF(OR(A31="",인당_권장_누적=0),"",B31/인당_권장_누적),"")</f>
        <v/>
      </c>
      <c r="F31" s="16">
        <f>IF(A31="","",IF(NOT(ISNUMBER(E31)),"-",IF(E31&gt;1.5,"🔴 과다",IF(E31&gt;=1,"🟠 주의",IF(E31&gt;=0.5,"🟢 정상","⚪ 여유")))))</f>
        <v/>
      </c>
    </row>
    <row r="32">
      <c r="A32" s="12">
        <f>IF(멤버!A12="","",멤버!A12)</f>
        <v/>
      </c>
      <c r="B32" s="13">
        <f>IF(A32="","",IFERROR(SUMPRODUCT((사용_이름&lt;&gt;"")*((A32=사용_이름)+((A32&lt;&gt;사용_이름)*ISNUMBER(SEARCH(","&amp;SUBSTITUTE(A32," ","")&amp;",",","&amp;SUBSTITUTE(사용_함께&amp;""," ","")&amp;","))))*IFERROR(N(사용_1인당),0)),0))</f>
        <v/>
      </c>
      <c r="C32" s="14">
        <f>IFERROR(IF(A32="","",B32/$B$6),"")</f>
        <v/>
      </c>
      <c r="D32" s="15">
        <f>IFERROR(IF(OR(A32="",$B$6=0),"",B32/($B$6/$B$10)),"")</f>
        <v/>
      </c>
      <c r="E32" s="15">
        <f>IFERROR(IF(OR(A32="",인당_권장_누적=0),"",B32/인당_권장_누적),"")</f>
        <v/>
      </c>
      <c r="F32" s="16">
        <f>IF(A32="","",IF(NOT(ISNUMBER(E32)),"-",IF(E32&gt;1.5,"🔴 과다",IF(E32&gt;=1,"🟠 주의",IF(E32&gt;=0.5,"🟢 정상","⚪ 여유")))))</f>
        <v/>
      </c>
    </row>
    <row r="33">
      <c r="A33" s="12">
        <f>IF(멤버!A13="","",멤버!A13)</f>
        <v/>
      </c>
      <c r="B33" s="13">
        <f>IF(A33="","",IFERROR(SUMPRODUCT((사용_이름&lt;&gt;"")*((A33=사용_이름)+((A33&lt;&gt;사용_이름)*ISNUMBER(SEARCH(","&amp;SUBSTITUTE(A33," ","")&amp;",",","&amp;SUBSTITUTE(사용_함께&amp;""," ","")&amp;","))))*IFERROR(N(사용_1인당),0)),0))</f>
        <v/>
      </c>
      <c r="C33" s="14">
        <f>IFERROR(IF(A33="","",B33/$B$6),"")</f>
        <v/>
      </c>
      <c r="D33" s="15">
        <f>IFERROR(IF(OR(A33="",$B$6=0),"",B33/($B$6/$B$10)),"")</f>
        <v/>
      </c>
      <c r="E33" s="15">
        <f>IFERROR(IF(OR(A33="",인당_권장_누적=0),"",B33/인당_권장_누적),"")</f>
        <v/>
      </c>
      <c r="F33" s="16">
        <f>IF(A33="","",IF(NOT(ISNUMBER(E33)),"-",IF(E33&gt;1.5,"🔴 과다",IF(E33&gt;=1,"🟠 주의",IF(E33&gt;=0.5,"🟢 정상","⚪ 여유")))))</f>
        <v/>
      </c>
    </row>
    <row r="34">
      <c r="A34" s="12">
        <f>IF(멤버!A14="","",멤버!A14)</f>
        <v/>
      </c>
      <c r="B34" s="13">
        <f>IF(A34="","",IFERROR(SUMPRODUCT((사용_이름&lt;&gt;"")*((A34=사용_이름)+((A34&lt;&gt;사용_이름)*ISNUMBER(SEARCH(","&amp;SUBSTITUTE(A34," ","")&amp;",",","&amp;SUBSTITUTE(사용_함께&amp;""," ","")&amp;","))))*IFERROR(N(사용_1인당),0)),0))</f>
        <v/>
      </c>
      <c r="C34" s="14">
        <f>IFERROR(IF(A34="","",B34/$B$6),"")</f>
        <v/>
      </c>
      <c r="D34" s="15">
        <f>IFERROR(IF(OR(A34="",$B$6=0),"",B34/($B$6/$B$10)),"")</f>
        <v/>
      </c>
      <c r="E34" s="15">
        <f>IFERROR(IF(OR(A34="",인당_권장_누적=0),"",B34/인당_권장_누적),"")</f>
        <v/>
      </c>
      <c r="F34" s="16">
        <f>IF(A34="","",IF(NOT(ISNUMBER(E34)),"-",IF(E34&gt;1.5,"🔴 과다",IF(E34&gt;=1,"🟠 주의",IF(E34&gt;=0.5,"🟢 정상","⚪ 여유")))))</f>
        <v/>
      </c>
    </row>
    <row r="35">
      <c r="A35" s="12">
        <f>IF(멤버!A15="","",멤버!A15)</f>
        <v/>
      </c>
      <c r="B35" s="13">
        <f>IF(A35="","",IFERROR(SUMPRODUCT((사용_이름&lt;&gt;"")*((A35=사용_이름)+((A35&lt;&gt;사용_이름)*ISNUMBER(SEARCH(","&amp;SUBSTITUTE(A35," ","")&amp;",",","&amp;SUBSTITUTE(사용_함께&amp;""," ","")&amp;","))))*IFERROR(N(사용_1인당),0)),0))</f>
        <v/>
      </c>
      <c r="C35" s="14">
        <f>IFERROR(IF(A35="","",B35/$B$6),"")</f>
        <v/>
      </c>
      <c r="D35" s="15">
        <f>IFERROR(IF(OR(A35="",$B$6=0),"",B35/($B$6/$B$10)),"")</f>
        <v/>
      </c>
      <c r="E35" s="15">
        <f>IFERROR(IF(OR(A35="",인당_권장_누적=0),"",B35/인당_권장_누적),"")</f>
        <v/>
      </c>
      <c r="F35" s="16">
        <f>IF(A35="","",IF(NOT(ISNUMBER(E35)),"-",IF(E35&gt;1.5,"🔴 과다",IF(E35&gt;=1,"🟠 주의",IF(E35&gt;=0.5,"🟢 정상","⚪ 여유")))))</f>
        <v/>
      </c>
    </row>
    <row r="36">
      <c r="A36" s="12">
        <f>IF(멤버!A16="","",멤버!A16)</f>
        <v/>
      </c>
      <c r="B36" s="13">
        <f>IF(A36="","",IFERROR(SUMPRODUCT((사용_이름&lt;&gt;"")*((A36=사용_이름)+((A36&lt;&gt;사용_이름)*ISNUMBER(SEARCH(","&amp;SUBSTITUTE(A36," ","")&amp;",",","&amp;SUBSTITUTE(사용_함께&amp;""," ","")&amp;","))))*IFERROR(N(사용_1인당),0)),0))</f>
        <v/>
      </c>
      <c r="C36" s="14">
        <f>IFERROR(IF(A36="","",B36/$B$6),"")</f>
        <v/>
      </c>
      <c r="D36" s="15">
        <f>IFERROR(IF(OR(A36="",$B$6=0),"",B36/($B$6/$B$10)),"")</f>
        <v/>
      </c>
      <c r="E36" s="15">
        <f>IFERROR(IF(OR(A36="",인당_권장_누적=0),"",B36/인당_권장_누적),"")</f>
        <v/>
      </c>
      <c r="F36" s="16">
        <f>IF(A36="","",IF(NOT(ISNUMBER(E36)),"-",IF(E36&gt;1.5,"🔴 과다",IF(E36&gt;=1,"🟠 주의",IF(E36&gt;=0.5,"🟢 정상","⚪ 여유")))))</f>
        <v/>
      </c>
    </row>
    <row r="37">
      <c r="A37" s="12">
        <f>IF(멤버!A17="","",멤버!A17)</f>
        <v/>
      </c>
      <c r="B37" s="13">
        <f>IF(A37="","",IFERROR(SUMPRODUCT((사용_이름&lt;&gt;"")*((A37=사용_이름)+((A37&lt;&gt;사용_이름)*ISNUMBER(SEARCH(","&amp;SUBSTITUTE(A37," ","")&amp;",",","&amp;SUBSTITUTE(사용_함께&amp;""," ","")&amp;","))))*IFERROR(N(사용_1인당),0)),0))</f>
        <v/>
      </c>
      <c r="C37" s="14">
        <f>IFERROR(IF(A37="","",B37/$B$6),"")</f>
        <v/>
      </c>
      <c r="D37" s="15">
        <f>IFERROR(IF(OR(A37="",$B$6=0),"",B37/($B$6/$B$10)),"")</f>
        <v/>
      </c>
      <c r="E37" s="15">
        <f>IFERROR(IF(OR(A37="",인당_권장_누적=0),"",B37/인당_권장_누적),"")</f>
        <v/>
      </c>
      <c r="F37" s="16">
        <f>IF(A37="","",IF(NOT(ISNUMBER(E37)),"-",IF(E37&gt;1.5,"🔴 과다",IF(E37&gt;=1,"🟠 주의",IF(E37&gt;=0.5,"🟢 정상","⚪ 여유")))))</f>
        <v/>
      </c>
    </row>
    <row r="38">
      <c r="A38" s="12">
        <f>IF(멤버!A18="","",멤버!A18)</f>
        <v/>
      </c>
      <c r="B38" s="13">
        <f>IF(A38="","",IFERROR(SUMPRODUCT((사용_이름&lt;&gt;"")*((A38=사용_이름)+((A38&lt;&gt;사용_이름)*ISNUMBER(SEARCH(","&amp;SUBSTITUTE(A38," ","")&amp;",",","&amp;SUBSTITUTE(사용_함께&amp;""," ","")&amp;","))))*IFERROR(N(사용_1인당),0)),0))</f>
        <v/>
      </c>
      <c r="C38" s="14">
        <f>IFERROR(IF(A38="","",B38/$B$6),"")</f>
        <v/>
      </c>
      <c r="D38" s="15">
        <f>IFERROR(IF(OR(A38="",$B$6=0),"",B38/($B$6/$B$10)),"")</f>
        <v/>
      </c>
      <c r="E38" s="15">
        <f>IFERROR(IF(OR(A38="",인당_권장_누적=0),"",B38/인당_권장_누적),"")</f>
        <v/>
      </c>
      <c r="F38" s="16">
        <f>IF(A38="","",IF(NOT(ISNUMBER(E38)),"-",IF(E38&gt;1.5,"🔴 과다",IF(E38&gt;=1,"🟠 주의",IF(E38&gt;=0.5,"🟢 정상","⚪ 여유")))))</f>
        <v/>
      </c>
    </row>
    <row r="39">
      <c r="A39" s="12">
        <f>IF(멤버!A19="","",멤버!A19)</f>
        <v/>
      </c>
      <c r="B39" s="13">
        <f>IF(A39="","",IFERROR(SUMPRODUCT((사용_이름&lt;&gt;"")*((A39=사용_이름)+((A39&lt;&gt;사용_이름)*ISNUMBER(SEARCH(","&amp;SUBSTITUTE(A39," ","")&amp;",",","&amp;SUBSTITUTE(사용_함께&amp;""," ","")&amp;","))))*IFERROR(N(사용_1인당),0)),0))</f>
        <v/>
      </c>
      <c r="C39" s="14">
        <f>IFERROR(IF(A39="","",B39/$B$6),"")</f>
        <v/>
      </c>
      <c r="D39" s="15">
        <f>IFERROR(IF(OR(A39="",$B$6=0),"",B39/($B$6/$B$10)),"")</f>
        <v/>
      </c>
      <c r="E39" s="15">
        <f>IFERROR(IF(OR(A39="",인당_권장_누적=0),"",B39/인당_권장_누적),"")</f>
        <v/>
      </c>
      <c r="F39" s="16">
        <f>IF(A39="","",IF(NOT(ISNUMBER(E39)),"-",IF(E39&gt;1.5,"🔴 과다",IF(E39&gt;=1,"🟠 주의",IF(E39&gt;=0.5,"🟢 정상","⚪ 여유")))))</f>
        <v/>
      </c>
    </row>
    <row r="40">
      <c r="A40" s="12">
        <f>IF(멤버!A20="","",멤버!A20)</f>
        <v/>
      </c>
      <c r="B40" s="13">
        <f>IF(A40="","",IFERROR(SUMPRODUCT((사용_이름&lt;&gt;"")*((A40=사용_이름)+((A40&lt;&gt;사용_이름)*ISNUMBER(SEARCH(","&amp;SUBSTITUTE(A40," ","")&amp;",",","&amp;SUBSTITUTE(사용_함께&amp;""," ","")&amp;","))))*IFERROR(N(사용_1인당),0)),0))</f>
        <v/>
      </c>
      <c r="C40" s="14">
        <f>IFERROR(IF(A40="","",B40/$B$6),"")</f>
        <v/>
      </c>
      <c r="D40" s="15">
        <f>IFERROR(IF(OR(A40="",$B$6=0),"",B40/($B$6/$B$10)),"")</f>
        <v/>
      </c>
      <c r="E40" s="15">
        <f>IFERROR(IF(OR(A40="",인당_권장_누적=0),"",B40/인당_권장_누적),"")</f>
        <v/>
      </c>
      <c r="F40" s="16">
        <f>IF(A40="","",IF(NOT(ISNUMBER(E40)),"-",IF(E40&gt;1.5,"🔴 과다",IF(E40&gt;=1,"🟠 주의",IF(E40&gt;=0.5,"🟢 정상","⚪ 여유")))))</f>
        <v/>
      </c>
    </row>
    <row r="41">
      <c r="A41" s="12">
        <f>IF(멤버!A21="","",멤버!A21)</f>
        <v/>
      </c>
      <c r="B41" s="13">
        <f>IF(A41="","",IFERROR(SUMPRODUCT((사용_이름&lt;&gt;"")*((A41=사용_이름)+((A41&lt;&gt;사용_이름)*ISNUMBER(SEARCH(","&amp;SUBSTITUTE(A41," ","")&amp;",",","&amp;SUBSTITUTE(사용_함께&amp;""," ","")&amp;","))))*IFERROR(N(사용_1인당),0)),0))</f>
        <v/>
      </c>
      <c r="C41" s="14">
        <f>IFERROR(IF(A41="","",B41/$B$6),"")</f>
        <v/>
      </c>
      <c r="D41" s="15">
        <f>IFERROR(IF(OR(A41="",$B$6=0),"",B41/($B$6/$B$10)),"")</f>
        <v/>
      </c>
      <c r="E41" s="15">
        <f>IFERROR(IF(OR(A41="",인당_권장_누적=0),"",B41/인당_권장_누적),"")</f>
        <v/>
      </c>
      <c r="F41" s="16">
        <f>IF(A41="","",IF(NOT(ISNUMBER(E41)),"-",IF(E41&gt;1.5,"🔴 과다",IF(E41&gt;=1,"🟠 주의",IF(E41&gt;=0.5,"🟢 정상","⚪ 여유")))))</f>
        <v/>
      </c>
    </row>
    <row r="42">
      <c r="A42" s="12">
        <f>IF(멤버!A22="","",멤버!A22)</f>
        <v/>
      </c>
      <c r="B42" s="13">
        <f>IF(A42="","",IFERROR(SUMPRODUCT((사용_이름&lt;&gt;"")*((A42=사용_이름)+((A42&lt;&gt;사용_이름)*ISNUMBER(SEARCH(","&amp;SUBSTITUTE(A42," ","")&amp;",",","&amp;SUBSTITUTE(사용_함께&amp;""," ","")&amp;","))))*IFERROR(N(사용_1인당),0)),0))</f>
        <v/>
      </c>
      <c r="C42" s="14">
        <f>IFERROR(IF(A42="","",B42/$B$6),"")</f>
        <v/>
      </c>
      <c r="D42" s="15">
        <f>IFERROR(IF(OR(A42="",$B$6=0),"",B42/($B$6/$B$10)),"")</f>
        <v/>
      </c>
      <c r="E42" s="15">
        <f>IFERROR(IF(OR(A42="",인당_권장_누적=0),"",B42/인당_권장_누적),"")</f>
        <v/>
      </c>
      <c r="F42" s="16">
        <f>IF(A42="","",IF(NOT(ISNUMBER(E42)),"-",IF(E42&gt;1.5,"🔴 과다",IF(E42&gt;=1,"🟠 주의",IF(E42&gt;=0.5,"🟢 정상","⚪ 여유")))))</f>
        <v/>
      </c>
    </row>
    <row r="43">
      <c r="A43" s="12">
        <f>IF(멤버!A23="","",멤버!A23)</f>
        <v/>
      </c>
      <c r="B43" s="13">
        <f>IF(A43="","",IFERROR(SUMPRODUCT((사용_이름&lt;&gt;"")*((A43=사용_이름)+((A43&lt;&gt;사용_이름)*ISNUMBER(SEARCH(","&amp;SUBSTITUTE(A43," ","")&amp;",",","&amp;SUBSTITUTE(사용_함께&amp;""," ","")&amp;","))))*IFERROR(N(사용_1인당),0)),0))</f>
        <v/>
      </c>
      <c r="C43" s="14">
        <f>IFERROR(IF(A43="","",B43/$B$6),"")</f>
        <v/>
      </c>
      <c r="D43" s="15">
        <f>IFERROR(IF(OR(A43="",$B$6=0),"",B43/($B$6/$B$10)),"")</f>
        <v/>
      </c>
      <c r="E43" s="15">
        <f>IFERROR(IF(OR(A43="",인당_권장_누적=0),"",B43/인당_권장_누적),"")</f>
        <v/>
      </c>
      <c r="F43" s="16">
        <f>IF(A43="","",IF(NOT(ISNUMBER(E43)),"-",IF(E43&gt;1.5,"🔴 과다",IF(E43&gt;=1,"🟠 주의",IF(E43&gt;=0.5,"🟢 정상","⚪ 여유")))))</f>
        <v/>
      </c>
    </row>
    <row r="44">
      <c r="A44" s="12">
        <f>IF(멤버!A24="","",멤버!A24)</f>
        <v/>
      </c>
      <c r="B44" s="13">
        <f>IF(A44="","",IFERROR(SUMPRODUCT((사용_이름&lt;&gt;"")*((A44=사용_이름)+((A44&lt;&gt;사용_이름)*ISNUMBER(SEARCH(","&amp;SUBSTITUTE(A44," ","")&amp;",",","&amp;SUBSTITUTE(사용_함께&amp;""," ","")&amp;","))))*IFERROR(N(사용_1인당),0)),0))</f>
        <v/>
      </c>
      <c r="C44" s="14">
        <f>IFERROR(IF(A44="","",B44/$B$6),"")</f>
        <v/>
      </c>
      <c r="D44" s="15">
        <f>IFERROR(IF(OR(A44="",$B$6=0),"",B44/($B$6/$B$10)),"")</f>
        <v/>
      </c>
      <c r="E44" s="15">
        <f>IFERROR(IF(OR(A44="",인당_권장_누적=0),"",B44/인당_권장_누적),"")</f>
        <v/>
      </c>
      <c r="F44" s="16">
        <f>IF(A44="","",IF(NOT(ISNUMBER(E44)),"-",IF(E44&gt;1.5,"🔴 과다",IF(E44&gt;=1,"🟠 주의",IF(E44&gt;=0.5,"🟢 정상","⚪ 여유")))))</f>
        <v/>
      </c>
    </row>
    <row r="45">
      <c r="A45" s="12">
        <f>IF(멤버!A25="","",멤버!A25)</f>
        <v/>
      </c>
      <c r="B45" s="13">
        <f>IF(A45="","",IFERROR(SUMPRODUCT((사용_이름&lt;&gt;"")*((A45=사용_이름)+((A45&lt;&gt;사용_이름)*ISNUMBER(SEARCH(","&amp;SUBSTITUTE(A45," ","")&amp;",",","&amp;SUBSTITUTE(사용_함께&amp;""," ","")&amp;","))))*IFERROR(N(사용_1인당),0)),0))</f>
        <v/>
      </c>
      <c r="C45" s="14">
        <f>IFERROR(IF(A45="","",B45/$B$6),"")</f>
        <v/>
      </c>
      <c r="D45" s="15">
        <f>IFERROR(IF(OR(A45="",$B$6=0),"",B45/($B$6/$B$10)),"")</f>
        <v/>
      </c>
      <c r="E45" s="15">
        <f>IFERROR(IF(OR(A45="",인당_권장_누적=0),"",B45/인당_권장_누적),"")</f>
        <v/>
      </c>
      <c r="F45" s="16">
        <f>IF(A45="","",IF(NOT(ISNUMBER(E45)),"-",IF(E45&gt;1.5,"🔴 과다",IF(E45&gt;=1,"🟠 주의",IF(E45&gt;=0.5,"🟢 정상","⚪ 여유")))))</f>
        <v/>
      </c>
    </row>
    <row r="46">
      <c r="A46" s="12">
        <f>IF(멤버!A26="","",멤버!A26)</f>
        <v/>
      </c>
      <c r="B46" s="13">
        <f>IF(A46="","",IFERROR(SUMPRODUCT((사용_이름&lt;&gt;"")*((A46=사용_이름)+((A46&lt;&gt;사용_이름)*ISNUMBER(SEARCH(","&amp;SUBSTITUTE(A46," ","")&amp;",",","&amp;SUBSTITUTE(사용_함께&amp;""," ","")&amp;","))))*IFERROR(N(사용_1인당),0)),0))</f>
        <v/>
      </c>
      <c r="C46" s="14">
        <f>IFERROR(IF(A46="","",B46/$B$6),"")</f>
        <v/>
      </c>
      <c r="D46" s="15">
        <f>IFERROR(IF(OR(A46="",$B$6=0),"",B46/($B$6/$B$10)),"")</f>
        <v/>
      </c>
      <c r="E46" s="15">
        <f>IFERROR(IF(OR(A46="",인당_권장_누적=0),"",B46/인당_권장_누적),"")</f>
        <v/>
      </c>
      <c r="F46" s="16">
        <f>IF(A46="","",IF(NOT(ISNUMBER(E46)),"-",IF(E46&gt;1.5,"🔴 과다",IF(E46&gt;=1,"🟠 주의",IF(E46&gt;=0.5,"🟢 정상","⚪ 여유")))))</f>
        <v/>
      </c>
    </row>
    <row r="47">
      <c r="A47" s="12">
        <f>IF(멤버!A27="","",멤버!A27)</f>
        <v/>
      </c>
      <c r="B47" s="13">
        <f>IF(A47="","",IFERROR(SUMPRODUCT((사용_이름&lt;&gt;"")*((A47=사용_이름)+((A47&lt;&gt;사용_이름)*ISNUMBER(SEARCH(","&amp;SUBSTITUTE(A47," ","")&amp;",",","&amp;SUBSTITUTE(사용_함께&amp;""," ","")&amp;","))))*IFERROR(N(사용_1인당),0)),0))</f>
        <v/>
      </c>
      <c r="C47" s="14">
        <f>IFERROR(IF(A47="","",B47/$B$6),"")</f>
        <v/>
      </c>
      <c r="D47" s="15">
        <f>IFERROR(IF(OR(A47="",$B$6=0),"",B47/($B$6/$B$10)),"")</f>
        <v/>
      </c>
      <c r="E47" s="15">
        <f>IFERROR(IF(OR(A47="",인당_권장_누적=0),"",B47/인당_권장_누적),"")</f>
        <v/>
      </c>
      <c r="F47" s="16">
        <f>IF(A47="","",IF(NOT(ISNUMBER(E47)),"-",IF(E47&gt;1.5,"🔴 과다",IF(E47&gt;=1,"🟠 주의",IF(E47&gt;=0.5,"🟢 정상","⚪ 여유")))))</f>
        <v/>
      </c>
    </row>
    <row r="48">
      <c r="A48" s="12">
        <f>IF(멤버!A28="","",멤버!A28)</f>
        <v/>
      </c>
      <c r="B48" s="13">
        <f>IF(A48="","",IFERROR(SUMPRODUCT((사용_이름&lt;&gt;"")*((A48=사용_이름)+((A48&lt;&gt;사용_이름)*ISNUMBER(SEARCH(","&amp;SUBSTITUTE(A48," ","")&amp;",",","&amp;SUBSTITUTE(사용_함께&amp;""," ","")&amp;","))))*IFERROR(N(사용_1인당),0)),0))</f>
        <v/>
      </c>
      <c r="C48" s="14">
        <f>IFERROR(IF(A48="","",B48/$B$6),"")</f>
        <v/>
      </c>
      <c r="D48" s="15">
        <f>IFERROR(IF(OR(A48="",$B$6=0),"",B48/($B$6/$B$10)),"")</f>
        <v/>
      </c>
      <c r="E48" s="15">
        <f>IFERROR(IF(OR(A48="",인당_권장_누적=0),"",B48/인당_권장_누적),"")</f>
        <v/>
      </c>
      <c r="F48" s="16">
        <f>IF(A48="","",IF(NOT(ISNUMBER(E48)),"-",IF(E48&gt;1.5,"🔴 과다",IF(E48&gt;=1,"🟠 주의",IF(E48&gt;=0.5,"🟢 정상","⚪ 여유")))))</f>
        <v/>
      </c>
    </row>
    <row r="49">
      <c r="A49" s="12">
        <f>IF(멤버!A29="","",멤버!A29)</f>
        <v/>
      </c>
      <c r="B49" s="13">
        <f>IF(A49="","",IFERROR(SUMPRODUCT((사용_이름&lt;&gt;"")*((A49=사용_이름)+((A49&lt;&gt;사용_이름)*ISNUMBER(SEARCH(","&amp;SUBSTITUTE(A49," ","")&amp;",",","&amp;SUBSTITUTE(사용_함께&amp;""," ","")&amp;","))))*IFERROR(N(사용_1인당),0)),0))</f>
        <v/>
      </c>
      <c r="C49" s="14">
        <f>IFERROR(IF(A49="","",B49/$B$6),"")</f>
        <v/>
      </c>
      <c r="D49" s="15">
        <f>IFERROR(IF(OR(A49="",$B$6=0),"",B49/($B$6/$B$10)),"")</f>
        <v/>
      </c>
      <c r="E49" s="15">
        <f>IFERROR(IF(OR(A49="",인당_권장_누적=0),"",B49/인당_권장_누적),"")</f>
        <v/>
      </c>
      <c r="F49" s="16">
        <f>IF(A49="","",IF(NOT(ISNUMBER(E49)),"-",IF(E49&gt;1.5,"🔴 과다",IF(E49&gt;=1,"🟠 주의",IF(E49&gt;=0.5,"🟢 정상","⚪ 여유")))))</f>
        <v/>
      </c>
    </row>
    <row r="50">
      <c r="A50" s="12">
        <f>IF(멤버!A30="","",멤버!A30)</f>
        <v/>
      </c>
      <c r="B50" s="13">
        <f>IF(A50="","",IFERROR(SUMPRODUCT((사용_이름&lt;&gt;"")*((A50=사용_이름)+((A50&lt;&gt;사용_이름)*ISNUMBER(SEARCH(","&amp;SUBSTITUTE(A50," ","")&amp;",",","&amp;SUBSTITUTE(사용_함께&amp;""," ","")&amp;","))))*IFERROR(N(사용_1인당),0)),0))</f>
        <v/>
      </c>
      <c r="C50" s="14">
        <f>IFERROR(IF(A50="","",B50/$B$6),"")</f>
        <v/>
      </c>
      <c r="D50" s="15">
        <f>IFERROR(IF(OR(A50="",$B$6=0),"",B50/($B$6/$B$10)),"")</f>
        <v/>
      </c>
      <c r="E50" s="15">
        <f>IFERROR(IF(OR(A50="",인당_권장_누적=0),"",B50/인당_권장_누적),"")</f>
        <v/>
      </c>
      <c r="F50" s="16">
        <f>IF(A50="","",IF(NOT(ISNUMBER(E50)),"-",IF(E50&gt;1.5,"🔴 과다",IF(E50&gt;=1,"🟠 주의",IF(E50&gt;=0.5,"🟢 정상","⚪ 여유")))))</f>
        <v/>
      </c>
    </row>
    <row r="51">
      <c r="A51" s="12">
        <f>IF(멤버!A31="","",멤버!A31)</f>
        <v/>
      </c>
      <c r="B51" s="13">
        <f>IF(A51="","",IFERROR(SUMPRODUCT((사용_이름&lt;&gt;"")*((A51=사용_이름)+((A51&lt;&gt;사용_이름)*ISNUMBER(SEARCH(","&amp;SUBSTITUTE(A51," ","")&amp;",",","&amp;SUBSTITUTE(사용_함께&amp;""," ","")&amp;","))))*IFERROR(N(사용_1인당),0)),0))</f>
        <v/>
      </c>
      <c r="C51" s="14">
        <f>IFERROR(IF(A51="","",B51/$B$6),"")</f>
        <v/>
      </c>
      <c r="D51" s="15">
        <f>IFERROR(IF(OR(A51="",$B$6=0),"",B51/($B$6/$B$10)),"")</f>
        <v/>
      </c>
      <c r="E51" s="15">
        <f>IFERROR(IF(OR(A51="",인당_권장_누적=0),"",B51/인당_권장_누적),"")</f>
        <v/>
      </c>
      <c r="F51" s="16">
        <f>IF(A51="","",IF(NOT(ISNUMBER(E51)),"-",IF(E51&gt;1.5,"🔴 과다",IF(E51&gt;=1,"🟠 주의",IF(E51&gt;=0.5,"🟢 정상","⚪ 여유")))))</f>
        <v/>
      </c>
    </row>
    <row r="52">
      <c r="A52" s="12">
        <f>IF(멤버!A32="","",멤버!A32)</f>
        <v/>
      </c>
      <c r="B52" s="13">
        <f>IF(A52="","",IFERROR(SUMPRODUCT((사용_이름&lt;&gt;"")*((A52=사용_이름)+((A52&lt;&gt;사용_이름)*ISNUMBER(SEARCH(","&amp;SUBSTITUTE(A52," ","")&amp;",",","&amp;SUBSTITUTE(사용_함께&amp;""," ","")&amp;","))))*IFERROR(N(사용_1인당),0)),0))</f>
        <v/>
      </c>
      <c r="C52" s="14">
        <f>IFERROR(IF(A52="","",B52/$B$6),"")</f>
        <v/>
      </c>
      <c r="D52" s="15">
        <f>IFERROR(IF(OR(A52="",$B$6=0),"",B52/($B$6/$B$10)),"")</f>
        <v/>
      </c>
      <c r="E52" s="15">
        <f>IFERROR(IF(OR(A52="",인당_권장_누적=0),"",B52/인당_권장_누적),"")</f>
        <v/>
      </c>
      <c r="F52" s="16">
        <f>IF(A52="","",IF(NOT(ISNUMBER(E52)),"-",IF(E52&gt;1.5,"🔴 과다",IF(E52&gt;=1,"🟠 주의",IF(E52&gt;=0.5,"🟢 정상","⚪ 여유")))))</f>
        <v/>
      </c>
    </row>
    <row r="53">
      <c r="A53" s="12">
        <f>IF(멤버!A33="","",멤버!A33)</f>
        <v/>
      </c>
      <c r="B53" s="13">
        <f>IF(A53="","",IFERROR(SUMPRODUCT((사용_이름&lt;&gt;"")*((A53=사용_이름)+((A53&lt;&gt;사용_이름)*ISNUMBER(SEARCH(","&amp;SUBSTITUTE(A53," ","")&amp;",",","&amp;SUBSTITUTE(사용_함께&amp;""," ","")&amp;","))))*IFERROR(N(사용_1인당),0)),0))</f>
        <v/>
      </c>
      <c r="C53" s="14">
        <f>IFERROR(IF(A53="","",B53/$B$6),"")</f>
        <v/>
      </c>
      <c r="D53" s="15">
        <f>IFERROR(IF(OR(A53="",$B$6=0),"",B53/($B$6/$B$10)),"")</f>
        <v/>
      </c>
      <c r="E53" s="15">
        <f>IFERROR(IF(OR(A53="",인당_권장_누적=0),"",B53/인당_권장_누적),"")</f>
        <v/>
      </c>
      <c r="F53" s="16">
        <f>IF(A53="","",IF(NOT(ISNUMBER(E53)),"-",IF(E53&gt;1.5,"🔴 과다",IF(E53&gt;=1,"🟠 주의",IF(E53&gt;=0.5,"🟢 정상","⚪ 여유")))))</f>
        <v/>
      </c>
    </row>
    <row r="54">
      <c r="A54" s="12">
        <f>IF(멤버!A34="","",멤버!A34)</f>
        <v/>
      </c>
      <c r="B54" s="13">
        <f>IF(A54="","",IFERROR(SUMPRODUCT((사용_이름&lt;&gt;"")*((A54=사용_이름)+((A54&lt;&gt;사용_이름)*ISNUMBER(SEARCH(","&amp;SUBSTITUTE(A54," ","")&amp;",",","&amp;SUBSTITUTE(사용_함께&amp;""," ","")&amp;","))))*IFERROR(N(사용_1인당),0)),0))</f>
        <v/>
      </c>
      <c r="C54" s="14">
        <f>IFERROR(IF(A54="","",B54/$B$6),"")</f>
        <v/>
      </c>
      <c r="D54" s="15">
        <f>IFERROR(IF(OR(A54="",$B$6=0),"",B54/($B$6/$B$10)),"")</f>
        <v/>
      </c>
      <c r="E54" s="15">
        <f>IFERROR(IF(OR(A54="",인당_권장_누적=0),"",B54/인당_권장_누적),"")</f>
        <v/>
      </c>
      <c r="F54" s="16">
        <f>IF(A54="","",IF(NOT(ISNUMBER(E54)),"-",IF(E54&gt;1.5,"🔴 과다",IF(E54&gt;=1,"🟠 주의",IF(E54&gt;=0.5,"🟢 정상","⚪ 여유")))))</f>
        <v/>
      </c>
    </row>
  </sheetData>
  <mergeCells count="10">
    <mergeCell ref="C18:F18"/>
    <mergeCell ref="C17:F17"/>
    <mergeCell ref="A13:F13"/>
    <mergeCell ref="A1:F1"/>
    <mergeCell ref="C16:F16"/>
    <mergeCell ref="A22:F22"/>
    <mergeCell ref="C15:F15"/>
    <mergeCell ref="A12:F12"/>
    <mergeCell ref="A3:F3"/>
    <mergeCell ref="A21:F21"/>
  </mergeCells>
  <conditionalFormatting sqref="B8">
    <cfRule type="cellIs" priority="1" operator="greaterThanOrEqual" dxfId="0">
      <formula>0.9</formula>
    </cfRule>
    <cfRule type="cellIs" priority="2" operator="between" dxfId="1">
      <formula>0.7</formula>
      <formula>0.9</formula>
    </cfRule>
  </conditionalFormatting>
  <conditionalFormatting sqref="E25:E54">
    <cfRule type="expression" priority="3" dxfId="0">
      <formula>AND(ISNUMBER(E25),E25&gt;1.5)</formula>
    </cfRule>
    <cfRule type="expression" priority="4" dxfId="2">
      <formula>AND(ISNUMBER(E25),E25&gt;=1,E25&lt;=1.5)</formula>
    </cfRule>
    <cfRule type="expression" priority="5" dxfId="3">
      <formula>AND(ISNUMBER(E25),E25&gt;=0.5,E25&lt;1)</formula>
    </cfRule>
    <cfRule type="expression" priority="6" dxfId="4">
      <formula>AND(ISNUMBER(E25),E25&lt;0.5,E25&gt;0)</formula>
    </cfRule>
  </conditionalFormatting>
  <conditionalFormatting sqref="A25:F54">
    <cfRule type="expression" priority="7" dxfId="5">
      <formula>AND(ISNUMBER($E25),$E25&gt;1.5)</formula>
    </cfRule>
  </conditionalFormatting>
  <conditionalFormatting sqref="B25:B54">
    <cfRule type="dataBar" priority="8">
      <dataBar showValue="1">
        <cfvo type="min"/>
        <cfvo type="max"/>
        <color rgb="0060A5FA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2" customWidth="1" min="3" max="3"/>
    <col width="60" customWidth="1" min="4" max="4"/>
  </cols>
  <sheetData>
    <row r="1" ht="30" customHeight="1">
      <c r="A1" s="1" t="inlineStr">
        <is>
          <t>예산 설정</t>
        </is>
      </c>
    </row>
    <row r="2">
      <c r="A2" s="3" t="inlineStr">
        <is>
          <t>총 예산 (Product Design)</t>
        </is>
      </c>
      <c r="B2" s="17" t="n">
        <v>3699320</v>
      </c>
      <c r="D2" s="18" t="inlineStr">
        <is>
          <t>💡 파란색 셀(총 예산, 시작월, 종료월)만 수정하세요. 나머지는 자동 계산됩니다.</t>
        </is>
      </c>
    </row>
    <row r="3">
      <c r="A3" s="3" t="inlineStr">
        <is>
          <t>예산 시작월</t>
        </is>
      </c>
      <c r="B3" s="19" t="inlineStr">
        <is>
          <t>2026-01-01</t>
        </is>
      </c>
    </row>
    <row r="4">
      <c r="A4" s="3" t="inlineStr">
        <is>
          <t>예산 종료월</t>
        </is>
      </c>
      <c r="B4" s="19" t="inlineStr">
        <is>
          <t>2026-12-31</t>
        </is>
      </c>
    </row>
    <row r="5">
      <c r="A5" s="3" t="inlineStr">
        <is>
          <t>기준일 (오늘)</t>
        </is>
      </c>
      <c r="B5" s="20">
        <f>TODAY()</f>
        <v/>
      </c>
    </row>
    <row r="6">
      <c r="A6" s="3" t="inlineStr">
        <is>
          <t>총 개월 수</t>
        </is>
      </c>
      <c r="B6" s="21">
        <f>DATEDIF(B3,B4,"M")+1</f>
        <v/>
      </c>
    </row>
    <row r="7">
      <c r="A7" s="3" t="inlineStr">
        <is>
          <t>경과 개월 수</t>
        </is>
      </c>
      <c r="B7" s="21">
        <f>MIN(MAX(DATEDIF(B3,B5,"M")+1,0), B6)</f>
        <v/>
      </c>
    </row>
    <row r="8">
      <c r="A8" s="3" t="inlineStr">
        <is>
          <t>남은 개월 수</t>
        </is>
      </c>
      <c r="B8" s="21">
        <f>MAX(B6-B7,1)</f>
        <v/>
      </c>
    </row>
    <row r="9">
      <c r="A9" s="3" t="inlineStr">
        <is>
          <t>기간 경과율</t>
        </is>
      </c>
      <c r="B9" s="22">
        <f>B7/B6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40" customWidth="1" min="3" max="3"/>
  </cols>
  <sheetData>
    <row r="1" ht="30" customHeight="1">
      <c r="A1" s="1" t="inlineStr">
        <is>
          <t>팀원 명단</t>
        </is>
      </c>
    </row>
    <row r="2">
      <c r="A2" s="18" t="inlineStr">
        <is>
          <t>💡 이름을 추가/수정하면 사용내역의 이름 드롭다운과 대시보드 사람별 표에 자동 반영됩니다.</t>
        </is>
      </c>
    </row>
    <row r="4" ht="26" customHeight="1">
      <c r="A4" s="11" t="inlineStr">
        <is>
          <t>이름</t>
        </is>
      </c>
      <c r="B4" s="11" t="inlineStr">
        <is>
          <t>비고</t>
        </is>
      </c>
      <c r="C4" s="11" t="inlineStr">
        <is>
          <t>참고</t>
        </is>
      </c>
    </row>
    <row r="5">
      <c r="A5" s="23" t="inlineStr">
        <is>
          <t>이요한(Yohan)</t>
        </is>
      </c>
      <c r="B5" s="23" t="inlineStr">
        <is>
          <t>리더</t>
        </is>
      </c>
      <c r="C5" s="23" t="n"/>
    </row>
    <row r="6">
      <c r="A6" s="23" t="inlineStr">
        <is>
          <t>정수현(Gongdee)</t>
        </is>
      </c>
      <c r="B6" s="23" t="inlineStr"/>
      <c r="C6" s="23" t="n"/>
    </row>
    <row r="7">
      <c r="A7" s="23" t="inlineStr">
        <is>
          <t>문지선(Sun)</t>
        </is>
      </c>
      <c r="B7" s="23" t="inlineStr"/>
      <c r="C7" s="23" t="n"/>
    </row>
    <row r="8">
      <c r="A8" s="23" t="inlineStr">
        <is>
          <t>윤소현(Jenna)</t>
        </is>
      </c>
      <c r="B8" s="23" t="inlineStr"/>
      <c r="C8" s="23" t="n"/>
    </row>
    <row r="9">
      <c r="A9" s="23" t="inlineStr">
        <is>
          <t>한수민(Stella)</t>
        </is>
      </c>
      <c r="B9" s="23" t="inlineStr"/>
      <c r="C9" s="23" t="n"/>
    </row>
    <row r="10">
      <c r="A10" s="23" t="inlineStr">
        <is>
          <t>이선진(Deeer)</t>
        </is>
      </c>
      <c r="B10" s="23" t="inlineStr"/>
      <c r="C10" s="23" t="n"/>
    </row>
    <row r="11">
      <c r="A11" s="23" t="inlineStr">
        <is>
          <t>이재구(Jack)</t>
        </is>
      </c>
      <c r="B11" s="23" t="inlineStr"/>
      <c r="C11" s="23" t="n"/>
    </row>
    <row r="12">
      <c r="A12" s="23" t="inlineStr">
        <is>
          <t>조수경(Skamie)</t>
        </is>
      </c>
      <c r="B12" s="23" t="inlineStr"/>
      <c r="C12" s="23" t="n"/>
    </row>
    <row r="13">
      <c r="A13" s="23" t="inlineStr">
        <is>
          <t>방채영(Dana)</t>
        </is>
      </c>
      <c r="B13" s="23" t="inlineStr"/>
      <c r="C13" s="23" t="n"/>
    </row>
    <row r="14">
      <c r="A14" s="23" t="inlineStr">
        <is>
          <t>윤세린(Selah)</t>
        </is>
      </c>
      <c r="B14" s="23" t="inlineStr"/>
      <c r="C14" s="23" t="n"/>
    </row>
    <row r="15">
      <c r="A15" s="23" t="inlineStr">
        <is>
          <t>심희정(Lana)</t>
        </is>
      </c>
      <c r="B15" s="23" t="inlineStr"/>
      <c r="C15" s="23" t="n"/>
    </row>
    <row r="16">
      <c r="A16" s="23" t="inlineStr">
        <is>
          <t>백신혜(Gina)</t>
        </is>
      </c>
      <c r="B16" s="23" t="inlineStr"/>
      <c r="C16" s="23" t="n"/>
    </row>
    <row r="17">
      <c r="A17" s="23" t="inlineStr">
        <is>
          <t>안유진(Jinny)</t>
        </is>
      </c>
      <c r="B17" s="23" t="inlineStr"/>
      <c r="C17" s="23" t="n"/>
    </row>
    <row r="18">
      <c r="A18" s="23" t="inlineStr"/>
      <c r="B18" s="23" t="inlineStr"/>
      <c r="C18" s="23" t="n"/>
    </row>
    <row r="19">
      <c r="A19" s="23" t="inlineStr"/>
      <c r="B19" s="23" t="inlineStr"/>
      <c r="C19" s="23" t="n"/>
    </row>
    <row r="20">
      <c r="A20" s="23" t="inlineStr"/>
      <c r="B20" s="23" t="inlineStr"/>
      <c r="C20" s="23" t="n"/>
    </row>
    <row r="21">
      <c r="A21" s="23" t="inlineStr"/>
      <c r="B21" s="23" t="inlineStr"/>
      <c r="C21" s="23" t="n"/>
    </row>
    <row r="22">
      <c r="A22" s="23" t="inlineStr"/>
      <c r="B22" s="23" t="inlineStr"/>
      <c r="C22" s="23" t="n"/>
    </row>
    <row r="23">
      <c r="A23" s="23" t="inlineStr"/>
      <c r="B23" s="23" t="inlineStr"/>
      <c r="C23" s="23" t="n"/>
    </row>
    <row r="24">
      <c r="A24" s="23" t="inlineStr"/>
      <c r="B24" s="23" t="inlineStr"/>
      <c r="C24" s="23" t="n"/>
    </row>
    <row r="25">
      <c r="A25" s="23" t="inlineStr"/>
      <c r="B25" s="23" t="inlineStr"/>
      <c r="C25" s="23" t="n"/>
    </row>
    <row r="26">
      <c r="A26" s="23" t="inlineStr"/>
      <c r="B26" s="23" t="inlineStr"/>
      <c r="C26" s="23" t="n"/>
    </row>
    <row r="27">
      <c r="A27" s="23" t="inlineStr"/>
      <c r="B27" s="23" t="inlineStr"/>
      <c r="C27" s="23" t="n"/>
    </row>
    <row r="28">
      <c r="A28" s="23" t="inlineStr"/>
      <c r="B28" s="23" t="inlineStr"/>
      <c r="C28" s="23" t="n"/>
    </row>
    <row r="29">
      <c r="A29" s="23" t="inlineStr"/>
      <c r="B29" s="23" t="inlineStr"/>
      <c r="C29" s="23" t="n"/>
    </row>
    <row r="30">
      <c r="A30" s="23" t="inlineStr"/>
      <c r="B30" s="23" t="inlineStr"/>
      <c r="C30" s="23" t="n"/>
    </row>
    <row r="31">
      <c r="A31" s="23" t="inlineStr"/>
      <c r="B31" s="23" t="inlineStr"/>
      <c r="C31" s="23" t="n"/>
    </row>
    <row r="32">
      <c r="A32" s="23" t="inlineStr"/>
      <c r="B32" s="23" t="inlineStr"/>
      <c r="C32" s="23" t="n"/>
    </row>
    <row r="33">
      <c r="A33" s="23" t="inlineStr"/>
      <c r="B33" s="23" t="inlineStr"/>
      <c r="C33" s="23" t="n"/>
    </row>
    <row r="34">
      <c r="A34" s="23" t="inlineStr"/>
      <c r="B34" s="23" t="inlineStr"/>
      <c r="C34" s="23" t="n"/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32" customWidth="1" min="4" max="4"/>
    <col width="14" customWidth="1" min="5" max="5"/>
    <col width="22" customWidth="1" min="6" max="6"/>
    <col width="38" customWidth="1" min="7" max="7"/>
    <col width="12" customWidth="1" min="8" max="8"/>
    <col width="14" customWidth="1" min="9" max="9"/>
  </cols>
  <sheetData>
    <row r="1" ht="30" customHeight="1">
      <c r="A1" s="1" t="inlineStr">
        <is>
          <t>사용 내역 입력</t>
        </is>
      </c>
    </row>
    <row r="2" ht="42" customHeight="1">
      <c r="A2" s="8" t="inlineStr">
        <is>
          <t>💡 한 줄에 한 건씩 입력. '이름(결제자)'에 결제·기록한 사람을 넣고, 함께한 다른 디자이너는 '함께한 디자이너'에 콤마(,)로 구분해 입력하세요. 총 참여 인원과 1인당 금액은 자동 계산됩니다. 대시보드의 사람별 사용액은 '결제자 + 참여자'에게 1인당 금액으로 균등 분담됩니다.</t>
        </is>
      </c>
    </row>
    <row r="4" ht="26" customHeight="1">
      <c r="A4" s="11" t="inlineStr">
        <is>
          <t>날짜</t>
        </is>
      </c>
      <c r="B4" s="11" t="inlineStr">
        <is>
          <t>이름(결제자)</t>
        </is>
      </c>
      <c r="C4" s="11" t="inlineStr">
        <is>
          <t>카테고리</t>
        </is>
      </c>
      <c r="D4" s="11" t="inlineStr">
        <is>
          <t>사용처/내용</t>
        </is>
      </c>
      <c r="E4" s="11" t="inlineStr">
        <is>
          <t>금액(원)</t>
        </is>
      </c>
      <c r="F4" s="11" t="inlineStr">
        <is>
          <t>영수증 링크</t>
        </is>
      </c>
      <c r="G4" s="11" t="inlineStr">
        <is>
          <t>함께한 디자이너</t>
        </is>
      </c>
      <c r="H4" s="11" t="inlineStr">
        <is>
          <t>총 참여 인원</t>
        </is>
      </c>
      <c r="I4" s="11" t="inlineStr">
        <is>
          <t>1인당 금액</t>
        </is>
      </c>
    </row>
    <row r="5">
      <c r="A5" s="24" t="inlineStr">
        <is>
          <t>2026-02-14</t>
        </is>
      </c>
      <c r="B5" s="23" t="inlineStr">
        <is>
          <t>정수현(Gongdee)</t>
        </is>
      </c>
      <c r="C5" s="23" t="inlineStr">
        <is>
          <t>도서</t>
        </is>
      </c>
      <c r="D5" s="23" t="inlineStr">
        <is>
          <t>디자인 시스템 책 구매</t>
        </is>
      </c>
      <c r="E5" s="17" t="n">
        <v>45000</v>
      </c>
      <c r="F5" s="23" t="inlineStr"/>
      <c r="G5" s="23" t="inlineStr"/>
      <c r="H5" s="25">
        <f>IF(B5="","",IF(TRIM(G5&amp;"")="",1,LEN(G5)-LEN(SUBSTITUTE(G5,",",""))+2))</f>
        <v/>
      </c>
      <c r="I5" s="26">
        <f>IF(OR(B5="",E5="",H5=""),"",E5/H5)</f>
        <v/>
      </c>
    </row>
    <row r="6">
      <c r="A6" s="24" t="inlineStr">
        <is>
          <t>2026-03-08</t>
        </is>
      </c>
      <c r="B6" s="23" t="inlineStr">
        <is>
          <t>문지선(Sun)</t>
        </is>
      </c>
      <c r="C6" s="23" t="inlineStr">
        <is>
          <t>교육</t>
        </is>
      </c>
      <c r="D6" s="23" t="inlineStr">
        <is>
          <t>Figma 컨퍼런스 티켓</t>
        </is>
      </c>
      <c r="E6" s="17" t="n">
        <v>180000</v>
      </c>
      <c r="F6" s="23" t="inlineStr"/>
      <c r="G6" s="23" t="inlineStr"/>
      <c r="H6" s="25">
        <f>IF(B6="","",IF(TRIM(G6&amp;"")="",1,LEN(G6)-LEN(SUBSTITUTE(G6,",",""))+2))</f>
        <v/>
      </c>
      <c r="I6" s="26">
        <f>IF(OR(B6="",E6="",H6=""),"",E6/H6)</f>
        <v/>
      </c>
    </row>
    <row r="7">
      <c r="A7" s="24" t="inlineStr">
        <is>
          <t>2026-03-22</t>
        </is>
      </c>
      <c r="B7" s="23" t="inlineStr">
        <is>
          <t>한수민(Stella)</t>
        </is>
      </c>
      <c r="C7" s="23" t="inlineStr">
        <is>
          <t>툴/구독</t>
        </is>
      </c>
      <c r="D7" s="23" t="inlineStr">
        <is>
          <t>Figma 연간 구독</t>
        </is>
      </c>
      <c r="E7" s="17" t="n">
        <v>220000</v>
      </c>
      <c r="F7" s="23" t="inlineStr"/>
      <c r="G7" s="23" t="inlineStr"/>
      <c r="H7" s="25">
        <f>IF(B7="","",IF(TRIM(G7&amp;"")="",1,LEN(G7)-LEN(SUBSTITUTE(G7,",",""))+2))</f>
        <v/>
      </c>
      <c r="I7" s="26">
        <f>IF(OR(B7="",E7="",H7=""),"",E7/H7)</f>
        <v/>
      </c>
    </row>
    <row r="8">
      <c r="A8" s="24" t="inlineStr">
        <is>
          <t>2026-04-10</t>
        </is>
      </c>
      <c r="B8" s="23" t="inlineStr">
        <is>
          <t>이요한(Yohan)</t>
        </is>
      </c>
      <c r="C8" s="23" t="inlineStr">
        <is>
          <t>팀빌딩</t>
        </is>
      </c>
      <c r="D8" s="23" t="inlineStr">
        <is>
          <t>팀 회식 (홍대)</t>
        </is>
      </c>
      <c r="E8" s="17" t="n">
        <v>360000</v>
      </c>
      <c r="F8" s="23" t="inlineStr"/>
      <c r="G8" s="23" t="inlineStr">
        <is>
          <t>정수현(Gongdee), 문지선(Sun), 한수민(Stella), 이재구(Jack)</t>
        </is>
      </c>
      <c r="H8" s="25">
        <f>IF(B8="","",IF(TRIM(G8&amp;"")="",1,LEN(G8)-LEN(SUBSTITUTE(G8,",",""))+2))</f>
        <v/>
      </c>
      <c r="I8" s="26">
        <f>IF(OR(B8="",E8="",H8=""),"",E8/H8)</f>
        <v/>
      </c>
    </row>
    <row r="9">
      <c r="A9" s="24" t="n"/>
      <c r="B9" s="23" t="n"/>
      <c r="C9" s="23" t="n"/>
      <c r="D9" s="23" t="n"/>
      <c r="E9" s="17" t="n"/>
      <c r="F9" s="23" t="n"/>
      <c r="G9" s="23" t="n"/>
      <c r="H9" s="25">
        <f>IF(B9="","",IF(TRIM(G9&amp;"")="",1,LEN(G9)-LEN(SUBSTITUTE(G9,",",""))+2))</f>
        <v/>
      </c>
      <c r="I9" s="26">
        <f>IF(OR(B9="",E9="",H9=""),"",E9/H9)</f>
        <v/>
      </c>
    </row>
    <row r="10">
      <c r="A10" s="24" t="n"/>
      <c r="B10" s="23" t="n"/>
      <c r="C10" s="23" t="n"/>
      <c r="D10" s="23" t="n"/>
      <c r="E10" s="17" t="n"/>
      <c r="F10" s="23" t="n"/>
      <c r="G10" s="23" t="n"/>
      <c r="H10" s="25">
        <f>IF(B10="","",IF(TRIM(G10&amp;"")="",1,LEN(G10)-LEN(SUBSTITUTE(G10,",",""))+2))</f>
        <v/>
      </c>
      <c r="I10" s="26">
        <f>IF(OR(B10="",E10="",H10=""),"",E10/H10)</f>
        <v/>
      </c>
    </row>
    <row r="11">
      <c r="A11" s="24" t="n"/>
      <c r="B11" s="23" t="n"/>
      <c r="C11" s="23" t="n"/>
      <c r="D11" s="23" t="n"/>
      <c r="E11" s="17" t="n"/>
      <c r="F11" s="23" t="n"/>
      <c r="G11" s="23" t="n"/>
      <c r="H11" s="25">
        <f>IF(B11="","",IF(TRIM(G11&amp;"")="",1,LEN(G11)-LEN(SUBSTITUTE(G11,",",""))+2))</f>
        <v/>
      </c>
      <c r="I11" s="26">
        <f>IF(OR(B11="",E11="",H11=""),"",E11/H11)</f>
        <v/>
      </c>
    </row>
    <row r="12">
      <c r="A12" s="24" t="n"/>
      <c r="B12" s="23" t="n"/>
      <c r="C12" s="23" t="n"/>
      <c r="D12" s="23" t="n"/>
      <c r="E12" s="17" t="n"/>
      <c r="F12" s="23" t="n"/>
      <c r="G12" s="23" t="n"/>
      <c r="H12" s="25">
        <f>IF(B12="","",IF(TRIM(G12&amp;"")="",1,LEN(G12)-LEN(SUBSTITUTE(G12,",",""))+2))</f>
        <v/>
      </c>
      <c r="I12" s="26">
        <f>IF(OR(B12="",E12="",H12=""),"",E12/H12)</f>
        <v/>
      </c>
    </row>
    <row r="13">
      <c r="A13" s="24" t="n"/>
      <c r="B13" s="23" t="n"/>
      <c r="C13" s="23" t="n"/>
      <c r="D13" s="23" t="n"/>
      <c r="E13" s="17" t="n"/>
      <c r="F13" s="23" t="n"/>
      <c r="G13" s="23" t="n"/>
      <c r="H13" s="25">
        <f>IF(B13="","",IF(TRIM(G13&amp;"")="",1,LEN(G13)-LEN(SUBSTITUTE(G13,",",""))+2))</f>
        <v/>
      </c>
      <c r="I13" s="26">
        <f>IF(OR(B13="",E13="",H13=""),"",E13/H13)</f>
        <v/>
      </c>
    </row>
    <row r="14">
      <c r="A14" s="24" t="n"/>
      <c r="B14" s="23" t="n"/>
      <c r="C14" s="23" t="n"/>
      <c r="D14" s="23" t="n"/>
      <c r="E14" s="17" t="n"/>
      <c r="F14" s="23" t="n"/>
      <c r="G14" s="23" t="n"/>
      <c r="H14" s="25">
        <f>IF(B14="","",IF(TRIM(G14&amp;"")="",1,LEN(G14)-LEN(SUBSTITUTE(G14,",",""))+2))</f>
        <v/>
      </c>
      <c r="I14" s="26">
        <f>IF(OR(B14="",E14="",H14=""),"",E14/H14)</f>
        <v/>
      </c>
    </row>
    <row r="15">
      <c r="A15" s="24" t="n"/>
      <c r="B15" s="23" t="n"/>
      <c r="C15" s="23" t="n"/>
      <c r="D15" s="23" t="n"/>
      <c r="E15" s="17" t="n"/>
      <c r="F15" s="23" t="n"/>
      <c r="G15" s="23" t="n"/>
      <c r="H15" s="25">
        <f>IF(B15="","",IF(TRIM(G15&amp;"")="",1,LEN(G15)-LEN(SUBSTITUTE(G15,",",""))+2))</f>
        <v/>
      </c>
      <c r="I15" s="26">
        <f>IF(OR(B15="",E15="",H15=""),"",E15/H15)</f>
        <v/>
      </c>
    </row>
    <row r="16">
      <c r="A16" s="24" t="n"/>
      <c r="B16" s="23" t="n"/>
      <c r="C16" s="23" t="n"/>
      <c r="D16" s="23" t="n"/>
      <c r="E16" s="17" t="n"/>
      <c r="F16" s="23" t="n"/>
      <c r="G16" s="23" t="n"/>
      <c r="H16" s="25">
        <f>IF(B16="","",IF(TRIM(G16&amp;"")="",1,LEN(G16)-LEN(SUBSTITUTE(G16,",",""))+2))</f>
        <v/>
      </c>
      <c r="I16" s="26">
        <f>IF(OR(B16="",E16="",H16=""),"",E16/H16)</f>
        <v/>
      </c>
    </row>
    <row r="17">
      <c r="A17" s="24" t="n"/>
      <c r="B17" s="23" t="n"/>
      <c r="C17" s="23" t="n"/>
      <c r="D17" s="23" t="n"/>
      <c r="E17" s="17" t="n"/>
      <c r="F17" s="23" t="n"/>
      <c r="G17" s="23" t="n"/>
      <c r="H17" s="25">
        <f>IF(B17="","",IF(TRIM(G17&amp;"")="",1,LEN(G17)-LEN(SUBSTITUTE(G17,",",""))+2))</f>
        <v/>
      </c>
      <c r="I17" s="26">
        <f>IF(OR(B17="",E17="",H17=""),"",E17/H17)</f>
        <v/>
      </c>
    </row>
    <row r="18">
      <c r="A18" s="24" t="n"/>
      <c r="B18" s="23" t="n"/>
      <c r="C18" s="23" t="n"/>
      <c r="D18" s="23" t="n"/>
      <c r="E18" s="17" t="n"/>
      <c r="F18" s="23" t="n"/>
      <c r="G18" s="23" t="n"/>
      <c r="H18" s="25">
        <f>IF(B18="","",IF(TRIM(G18&amp;"")="",1,LEN(G18)-LEN(SUBSTITUTE(G18,",",""))+2))</f>
        <v/>
      </c>
      <c r="I18" s="26">
        <f>IF(OR(B18="",E18="",H18=""),"",E18/H18)</f>
        <v/>
      </c>
    </row>
    <row r="19">
      <c r="A19" s="24" t="n"/>
      <c r="B19" s="23" t="n"/>
      <c r="C19" s="23" t="n"/>
      <c r="D19" s="23" t="n"/>
      <c r="E19" s="17" t="n"/>
      <c r="F19" s="23" t="n"/>
      <c r="G19" s="23" t="n"/>
      <c r="H19" s="25">
        <f>IF(B19="","",IF(TRIM(G19&amp;"")="",1,LEN(G19)-LEN(SUBSTITUTE(G19,",",""))+2))</f>
        <v/>
      </c>
      <c r="I19" s="26">
        <f>IF(OR(B19="",E19="",H19=""),"",E19/H19)</f>
        <v/>
      </c>
    </row>
    <row r="20">
      <c r="A20" s="24" t="n"/>
      <c r="B20" s="23" t="n"/>
      <c r="C20" s="23" t="n"/>
      <c r="D20" s="23" t="n"/>
      <c r="E20" s="17" t="n"/>
      <c r="F20" s="23" t="n"/>
      <c r="G20" s="23" t="n"/>
      <c r="H20" s="25">
        <f>IF(B20="","",IF(TRIM(G20&amp;"")="",1,LEN(G20)-LEN(SUBSTITUTE(G20,",",""))+2))</f>
        <v/>
      </c>
      <c r="I20" s="26">
        <f>IF(OR(B20="",E20="",H20=""),"",E20/H20)</f>
        <v/>
      </c>
    </row>
    <row r="21">
      <c r="A21" s="24" t="n"/>
      <c r="B21" s="23" t="n"/>
      <c r="C21" s="23" t="n"/>
      <c r="D21" s="23" t="n"/>
      <c r="E21" s="17" t="n"/>
      <c r="F21" s="23" t="n"/>
      <c r="G21" s="23" t="n"/>
      <c r="H21" s="25">
        <f>IF(B21="","",IF(TRIM(G21&amp;"")="",1,LEN(G21)-LEN(SUBSTITUTE(G21,",",""))+2))</f>
        <v/>
      </c>
      <c r="I21" s="26">
        <f>IF(OR(B21="",E21="",H21=""),"",E21/H21)</f>
        <v/>
      </c>
    </row>
    <row r="22">
      <c r="A22" s="24" t="n"/>
      <c r="B22" s="23" t="n"/>
      <c r="C22" s="23" t="n"/>
      <c r="D22" s="23" t="n"/>
      <c r="E22" s="17" t="n"/>
      <c r="F22" s="23" t="n"/>
      <c r="G22" s="23" t="n"/>
      <c r="H22" s="25">
        <f>IF(B22="","",IF(TRIM(G22&amp;"")="",1,LEN(G22)-LEN(SUBSTITUTE(G22,",",""))+2))</f>
        <v/>
      </c>
      <c r="I22" s="26">
        <f>IF(OR(B22="",E22="",H22=""),"",E22/H22)</f>
        <v/>
      </c>
    </row>
    <row r="23">
      <c r="A23" s="24" t="n"/>
      <c r="B23" s="23" t="n"/>
      <c r="C23" s="23" t="n"/>
      <c r="D23" s="23" t="n"/>
      <c r="E23" s="17" t="n"/>
      <c r="F23" s="23" t="n"/>
      <c r="G23" s="23" t="n"/>
      <c r="H23" s="25">
        <f>IF(B23="","",IF(TRIM(G23&amp;"")="",1,LEN(G23)-LEN(SUBSTITUTE(G23,",",""))+2))</f>
        <v/>
      </c>
      <c r="I23" s="26">
        <f>IF(OR(B23="",E23="",H23=""),"",E23/H23)</f>
        <v/>
      </c>
    </row>
    <row r="24">
      <c r="A24" s="24" t="n"/>
      <c r="B24" s="23" t="n"/>
      <c r="C24" s="23" t="n"/>
      <c r="D24" s="23" t="n"/>
      <c r="E24" s="17" t="n"/>
      <c r="F24" s="23" t="n"/>
      <c r="G24" s="23" t="n"/>
      <c r="H24" s="25">
        <f>IF(B24="","",IF(TRIM(G24&amp;"")="",1,LEN(G24)-LEN(SUBSTITUTE(G24,",",""))+2))</f>
        <v/>
      </c>
      <c r="I24" s="26">
        <f>IF(OR(B24="",E24="",H24=""),"",E24/H24)</f>
        <v/>
      </c>
    </row>
    <row r="25">
      <c r="A25" s="24" t="n"/>
      <c r="B25" s="23" t="n"/>
      <c r="C25" s="23" t="n"/>
      <c r="D25" s="23" t="n"/>
      <c r="E25" s="17" t="n"/>
      <c r="F25" s="23" t="n"/>
      <c r="G25" s="23" t="n"/>
      <c r="H25" s="25">
        <f>IF(B25="","",IF(TRIM(G25&amp;"")="",1,LEN(G25)-LEN(SUBSTITUTE(G25,",",""))+2))</f>
        <v/>
      </c>
      <c r="I25" s="26">
        <f>IF(OR(B25="",E25="",H25=""),"",E25/H25)</f>
        <v/>
      </c>
    </row>
    <row r="26">
      <c r="A26" s="24" t="n"/>
      <c r="B26" s="23" t="n"/>
      <c r="C26" s="23" t="n"/>
      <c r="D26" s="23" t="n"/>
      <c r="E26" s="17" t="n"/>
      <c r="F26" s="23" t="n"/>
      <c r="G26" s="23" t="n"/>
      <c r="H26" s="25">
        <f>IF(B26="","",IF(TRIM(G26&amp;"")="",1,LEN(G26)-LEN(SUBSTITUTE(G26,",",""))+2))</f>
        <v/>
      </c>
      <c r="I26" s="26">
        <f>IF(OR(B26="",E26="",H26=""),"",E26/H26)</f>
        <v/>
      </c>
    </row>
    <row r="27">
      <c r="A27" s="24" t="n"/>
      <c r="B27" s="23" t="n"/>
      <c r="C27" s="23" t="n"/>
      <c r="D27" s="23" t="n"/>
      <c r="E27" s="17" t="n"/>
      <c r="F27" s="23" t="n"/>
      <c r="G27" s="23" t="n"/>
      <c r="H27" s="25">
        <f>IF(B27="","",IF(TRIM(G27&amp;"")="",1,LEN(G27)-LEN(SUBSTITUTE(G27,",",""))+2))</f>
        <v/>
      </c>
      <c r="I27" s="26">
        <f>IF(OR(B27="",E27="",H27=""),"",E27/H27)</f>
        <v/>
      </c>
    </row>
    <row r="28">
      <c r="A28" s="24" t="n"/>
      <c r="B28" s="23" t="n"/>
      <c r="C28" s="23" t="n"/>
      <c r="D28" s="23" t="n"/>
      <c r="E28" s="17" t="n"/>
      <c r="F28" s="23" t="n"/>
      <c r="G28" s="23" t="n"/>
      <c r="H28" s="25">
        <f>IF(B28="","",IF(TRIM(G28&amp;"")="",1,LEN(G28)-LEN(SUBSTITUTE(G28,",",""))+2))</f>
        <v/>
      </c>
      <c r="I28" s="26">
        <f>IF(OR(B28="",E28="",H28=""),"",E28/H28)</f>
        <v/>
      </c>
    </row>
    <row r="29">
      <c r="A29" s="24" t="n"/>
      <c r="B29" s="23" t="n"/>
      <c r="C29" s="23" t="n"/>
      <c r="D29" s="23" t="n"/>
      <c r="E29" s="17" t="n"/>
      <c r="F29" s="23" t="n"/>
      <c r="G29" s="23" t="n"/>
      <c r="H29" s="25">
        <f>IF(B29="","",IF(TRIM(G29&amp;"")="",1,LEN(G29)-LEN(SUBSTITUTE(G29,",",""))+2))</f>
        <v/>
      </c>
      <c r="I29" s="26">
        <f>IF(OR(B29="",E29="",H29=""),"",E29/H29)</f>
        <v/>
      </c>
    </row>
    <row r="30">
      <c r="A30" s="24" t="n"/>
      <c r="B30" s="23" t="n"/>
      <c r="C30" s="23" t="n"/>
      <c r="D30" s="23" t="n"/>
      <c r="E30" s="17" t="n"/>
      <c r="F30" s="23" t="n"/>
      <c r="G30" s="23" t="n"/>
      <c r="H30" s="25">
        <f>IF(B30="","",IF(TRIM(G30&amp;"")="",1,LEN(G30)-LEN(SUBSTITUTE(G30,",",""))+2))</f>
        <v/>
      </c>
      <c r="I30" s="26">
        <f>IF(OR(B30="",E30="",H30=""),"",E30/H30)</f>
        <v/>
      </c>
    </row>
    <row r="31">
      <c r="A31" s="24" t="n"/>
      <c r="B31" s="23" t="n"/>
      <c r="C31" s="23" t="n"/>
      <c r="D31" s="23" t="n"/>
      <c r="E31" s="17" t="n"/>
      <c r="F31" s="23" t="n"/>
      <c r="G31" s="23" t="n"/>
      <c r="H31" s="25">
        <f>IF(B31="","",IF(TRIM(G31&amp;"")="",1,LEN(G31)-LEN(SUBSTITUTE(G31,",",""))+2))</f>
        <v/>
      </c>
      <c r="I31" s="26">
        <f>IF(OR(B31="",E31="",H31=""),"",E31/H31)</f>
        <v/>
      </c>
    </row>
    <row r="32">
      <c r="A32" s="24" t="n"/>
      <c r="B32" s="23" t="n"/>
      <c r="C32" s="23" t="n"/>
      <c r="D32" s="23" t="n"/>
      <c r="E32" s="17" t="n"/>
      <c r="F32" s="23" t="n"/>
      <c r="G32" s="23" t="n"/>
      <c r="H32" s="25">
        <f>IF(B32="","",IF(TRIM(G32&amp;"")="",1,LEN(G32)-LEN(SUBSTITUTE(G32,",",""))+2))</f>
        <v/>
      </c>
      <c r="I32" s="26">
        <f>IF(OR(B32="",E32="",H32=""),"",E32/H32)</f>
        <v/>
      </c>
    </row>
    <row r="33">
      <c r="A33" s="24" t="n"/>
      <c r="B33" s="23" t="n"/>
      <c r="C33" s="23" t="n"/>
      <c r="D33" s="23" t="n"/>
      <c r="E33" s="17" t="n"/>
      <c r="F33" s="23" t="n"/>
      <c r="G33" s="23" t="n"/>
      <c r="H33" s="25">
        <f>IF(B33="","",IF(TRIM(G33&amp;"")="",1,LEN(G33)-LEN(SUBSTITUTE(G33,",",""))+2))</f>
        <v/>
      </c>
      <c r="I33" s="26">
        <f>IF(OR(B33="",E33="",H33=""),"",E33/H33)</f>
        <v/>
      </c>
    </row>
    <row r="34">
      <c r="A34" s="24" t="n"/>
      <c r="B34" s="23" t="n"/>
      <c r="C34" s="23" t="n"/>
      <c r="D34" s="23" t="n"/>
      <c r="E34" s="17" t="n"/>
      <c r="F34" s="23" t="n"/>
      <c r="G34" s="23" t="n"/>
      <c r="H34" s="25">
        <f>IF(B34="","",IF(TRIM(G34&amp;"")="",1,LEN(G34)-LEN(SUBSTITUTE(G34,",",""))+2))</f>
        <v/>
      </c>
      <c r="I34" s="26">
        <f>IF(OR(B34="",E34="",H34=""),"",E34/H34)</f>
        <v/>
      </c>
    </row>
    <row r="35">
      <c r="A35" s="24" t="n"/>
      <c r="B35" s="23" t="n"/>
      <c r="C35" s="23" t="n"/>
      <c r="D35" s="23" t="n"/>
      <c r="E35" s="17" t="n"/>
      <c r="F35" s="23" t="n"/>
      <c r="G35" s="23" t="n"/>
      <c r="H35" s="25">
        <f>IF(B35="","",IF(TRIM(G35&amp;"")="",1,LEN(G35)-LEN(SUBSTITUTE(G35,",",""))+2))</f>
        <v/>
      </c>
      <c r="I35" s="26">
        <f>IF(OR(B35="",E35="",H35=""),"",E35/H35)</f>
        <v/>
      </c>
    </row>
    <row r="36">
      <c r="A36" s="24" t="n"/>
      <c r="B36" s="23" t="n"/>
      <c r="C36" s="23" t="n"/>
      <c r="D36" s="23" t="n"/>
      <c r="E36" s="17" t="n"/>
      <c r="F36" s="23" t="n"/>
      <c r="G36" s="23" t="n"/>
      <c r="H36" s="25">
        <f>IF(B36="","",IF(TRIM(G36&amp;"")="",1,LEN(G36)-LEN(SUBSTITUTE(G36,",",""))+2))</f>
        <v/>
      </c>
      <c r="I36" s="26">
        <f>IF(OR(B36="",E36="",H36=""),"",E36/H36)</f>
        <v/>
      </c>
    </row>
    <row r="37">
      <c r="A37" s="24" t="n"/>
      <c r="B37" s="23" t="n"/>
      <c r="C37" s="23" t="n"/>
      <c r="D37" s="23" t="n"/>
      <c r="E37" s="17" t="n"/>
      <c r="F37" s="23" t="n"/>
      <c r="G37" s="23" t="n"/>
      <c r="H37" s="25">
        <f>IF(B37="","",IF(TRIM(G37&amp;"")="",1,LEN(G37)-LEN(SUBSTITUTE(G37,",",""))+2))</f>
        <v/>
      </c>
      <c r="I37" s="26">
        <f>IF(OR(B37="",E37="",H37=""),"",E37/H37)</f>
        <v/>
      </c>
    </row>
    <row r="38">
      <c r="A38" s="24" t="n"/>
      <c r="B38" s="23" t="n"/>
      <c r="C38" s="23" t="n"/>
      <c r="D38" s="23" t="n"/>
      <c r="E38" s="17" t="n"/>
      <c r="F38" s="23" t="n"/>
      <c r="G38" s="23" t="n"/>
      <c r="H38" s="25">
        <f>IF(B38="","",IF(TRIM(G38&amp;"")="",1,LEN(G38)-LEN(SUBSTITUTE(G38,",",""))+2))</f>
        <v/>
      </c>
      <c r="I38" s="26">
        <f>IF(OR(B38="",E38="",H38=""),"",E38/H38)</f>
        <v/>
      </c>
    </row>
    <row r="39">
      <c r="A39" s="24" t="n"/>
      <c r="B39" s="23" t="n"/>
      <c r="C39" s="23" t="n"/>
      <c r="D39" s="23" t="n"/>
      <c r="E39" s="17" t="n"/>
      <c r="F39" s="23" t="n"/>
      <c r="G39" s="23" t="n"/>
      <c r="H39" s="25">
        <f>IF(B39="","",IF(TRIM(G39&amp;"")="",1,LEN(G39)-LEN(SUBSTITUTE(G39,",",""))+2))</f>
        <v/>
      </c>
      <c r="I39" s="26">
        <f>IF(OR(B39="",E39="",H39=""),"",E39/H39)</f>
        <v/>
      </c>
    </row>
    <row r="40">
      <c r="A40" s="24" t="n"/>
      <c r="B40" s="23" t="n"/>
      <c r="C40" s="23" t="n"/>
      <c r="D40" s="23" t="n"/>
      <c r="E40" s="17" t="n"/>
      <c r="F40" s="23" t="n"/>
      <c r="G40" s="23" t="n"/>
      <c r="H40" s="25">
        <f>IF(B40="","",IF(TRIM(G40&amp;"")="",1,LEN(G40)-LEN(SUBSTITUTE(G40,",",""))+2))</f>
        <v/>
      </c>
      <c r="I40" s="26">
        <f>IF(OR(B40="",E40="",H40=""),"",E40/H40)</f>
        <v/>
      </c>
    </row>
    <row r="41">
      <c r="A41" s="24" t="n"/>
      <c r="B41" s="23" t="n"/>
      <c r="C41" s="23" t="n"/>
      <c r="D41" s="23" t="n"/>
      <c r="E41" s="17" t="n"/>
      <c r="F41" s="23" t="n"/>
      <c r="G41" s="23" t="n"/>
      <c r="H41" s="25">
        <f>IF(B41="","",IF(TRIM(G41&amp;"")="",1,LEN(G41)-LEN(SUBSTITUTE(G41,",",""))+2))</f>
        <v/>
      </c>
      <c r="I41" s="26">
        <f>IF(OR(B41="",E41="",H41=""),"",E41/H41)</f>
        <v/>
      </c>
    </row>
    <row r="42">
      <c r="A42" s="24" t="n"/>
      <c r="B42" s="23" t="n"/>
      <c r="C42" s="23" t="n"/>
      <c r="D42" s="23" t="n"/>
      <c r="E42" s="17" t="n"/>
      <c r="F42" s="23" t="n"/>
      <c r="G42" s="23" t="n"/>
      <c r="H42" s="25">
        <f>IF(B42="","",IF(TRIM(G42&amp;"")="",1,LEN(G42)-LEN(SUBSTITUTE(G42,",",""))+2))</f>
        <v/>
      </c>
      <c r="I42" s="26">
        <f>IF(OR(B42="",E42="",H42=""),"",E42/H42)</f>
        <v/>
      </c>
    </row>
    <row r="43">
      <c r="A43" s="24" t="n"/>
      <c r="B43" s="23" t="n"/>
      <c r="C43" s="23" t="n"/>
      <c r="D43" s="23" t="n"/>
      <c r="E43" s="17" t="n"/>
      <c r="F43" s="23" t="n"/>
      <c r="G43" s="23" t="n"/>
      <c r="H43" s="25">
        <f>IF(B43="","",IF(TRIM(G43&amp;"")="",1,LEN(G43)-LEN(SUBSTITUTE(G43,",",""))+2))</f>
        <v/>
      </c>
      <c r="I43" s="26">
        <f>IF(OR(B43="",E43="",H43=""),"",E43/H43)</f>
        <v/>
      </c>
    </row>
    <row r="44">
      <c r="A44" s="24" t="n"/>
      <c r="B44" s="23" t="n"/>
      <c r="C44" s="23" t="n"/>
      <c r="D44" s="23" t="n"/>
      <c r="E44" s="17" t="n"/>
      <c r="F44" s="23" t="n"/>
      <c r="G44" s="23" t="n"/>
      <c r="H44" s="25">
        <f>IF(B44="","",IF(TRIM(G44&amp;"")="",1,LEN(G44)-LEN(SUBSTITUTE(G44,",",""))+2))</f>
        <v/>
      </c>
      <c r="I44" s="26">
        <f>IF(OR(B44="",E44="",H44=""),"",E44/H44)</f>
        <v/>
      </c>
    </row>
    <row r="45">
      <c r="A45" s="24" t="n"/>
      <c r="B45" s="23" t="n"/>
      <c r="C45" s="23" t="n"/>
      <c r="D45" s="23" t="n"/>
      <c r="E45" s="17" t="n"/>
      <c r="F45" s="23" t="n"/>
      <c r="G45" s="23" t="n"/>
      <c r="H45" s="25">
        <f>IF(B45="","",IF(TRIM(G45&amp;"")="",1,LEN(G45)-LEN(SUBSTITUTE(G45,",",""))+2))</f>
        <v/>
      </c>
      <c r="I45" s="26">
        <f>IF(OR(B45="",E45="",H45=""),"",E45/H45)</f>
        <v/>
      </c>
    </row>
    <row r="46">
      <c r="A46" s="24" t="n"/>
      <c r="B46" s="23" t="n"/>
      <c r="C46" s="23" t="n"/>
      <c r="D46" s="23" t="n"/>
      <c r="E46" s="17" t="n"/>
      <c r="F46" s="23" t="n"/>
      <c r="G46" s="23" t="n"/>
      <c r="H46" s="25">
        <f>IF(B46="","",IF(TRIM(G46&amp;"")="",1,LEN(G46)-LEN(SUBSTITUTE(G46,",",""))+2))</f>
        <v/>
      </c>
      <c r="I46" s="26">
        <f>IF(OR(B46="",E46="",H46=""),"",E46/H46)</f>
        <v/>
      </c>
    </row>
    <row r="47">
      <c r="A47" s="24" t="n"/>
      <c r="B47" s="23" t="n"/>
      <c r="C47" s="23" t="n"/>
      <c r="D47" s="23" t="n"/>
      <c r="E47" s="17" t="n"/>
      <c r="F47" s="23" t="n"/>
      <c r="G47" s="23" t="n"/>
      <c r="H47" s="25">
        <f>IF(B47="","",IF(TRIM(G47&amp;"")="",1,LEN(G47)-LEN(SUBSTITUTE(G47,",",""))+2))</f>
        <v/>
      </c>
      <c r="I47" s="26">
        <f>IF(OR(B47="",E47="",H47=""),"",E47/H47)</f>
        <v/>
      </c>
    </row>
    <row r="48">
      <c r="A48" s="24" t="n"/>
      <c r="B48" s="23" t="n"/>
      <c r="C48" s="23" t="n"/>
      <c r="D48" s="23" t="n"/>
      <c r="E48" s="17" t="n"/>
      <c r="F48" s="23" t="n"/>
      <c r="G48" s="23" t="n"/>
      <c r="H48" s="25">
        <f>IF(B48="","",IF(TRIM(G48&amp;"")="",1,LEN(G48)-LEN(SUBSTITUTE(G48,",",""))+2))</f>
        <v/>
      </c>
      <c r="I48" s="26">
        <f>IF(OR(B48="",E48="",H48=""),"",E48/H48)</f>
        <v/>
      </c>
    </row>
    <row r="49">
      <c r="A49" s="24" t="n"/>
      <c r="B49" s="23" t="n"/>
      <c r="C49" s="23" t="n"/>
      <c r="D49" s="23" t="n"/>
      <c r="E49" s="17" t="n"/>
      <c r="F49" s="23" t="n"/>
      <c r="G49" s="23" t="n"/>
      <c r="H49" s="25">
        <f>IF(B49="","",IF(TRIM(G49&amp;"")="",1,LEN(G49)-LEN(SUBSTITUTE(G49,",",""))+2))</f>
        <v/>
      </c>
      <c r="I49" s="26">
        <f>IF(OR(B49="",E49="",H49=""),"",E49/H49)</f>
        <v/>
      </c>
    </row>
    <row r="50">
      <c r="A50" s="24" t="n"/>
      <c r="B50" s="23" t="n"/>
      <c r="C50" s="23" t="n"/>
      <c r="D50" s="23" t="n"/>
      <c r="E50" s="17" t="n"/>
      <c r="F50" s="23" t="n"/>
      <c r="G50" s="23" t="n"/>
      <c r="H50" s="25">
        <f>IF(B50="","",IF(TRIM(G50&amp;"")="",1,LEN(G50)-LEN(SUBSTITUTE(G50,",",""))+2))</f>
        <v/>
      </c>
      <c r="I50" s="26">
        <f>IF(OR(B50="",E50="",H50=""),"",E50/H50)</f>
        <v/>
      </c>
    </row>
    <row r="51">
      <c r="A51" s="24" t="n"/>
      <c r="B51" s="23" t="n"/>
      <c r="C51" s="23" t="n"/>
      <c r="D51" s="23" t="n"/>
      <c r="E51" s="17" t="n"/>
      <c r="F51" s="23" t="n"/>
      <c r="G51" s="23" t="n"/>
      <c r="H51" s="25">
        <f>IF(B51="","",IF(TRIM(G51&amp;"")="",1,LEN(G51)-LEN(SUBSTITUTE(G51,",",""))+2))</f>
        <v/>
      </c>
      <c r="I51" s="26">
        <f>IF(OR(B51="",E51="",H51=""),"",E51/H51)</f>
        <v/>
      </c>
    </row>
    <row r="52">
      <c r="A52" s="24" t="n"/>
      <c r="B52" s="23" t="n"/>
      <c r="C52" s="23" t="n"/>
      <c r="D52" s="23" t="n"/>
      <c r="E52" s="17" t="n"/>
      <c r="F52" s="23" t="n"/>
      <c r="G52" s="23" t="n"/>
      <c r="H52" s="25">
        <f>IF(B52="","",IF(TRIM(G52&amp;"")="",1,LEN(G52)-LEN(SUBSTITUTE(G52,",",""))+2))</f>
        <v/>
      </c>
      <c r="I52" s="26">
        <f>IF(OR(B52="",E52="",H52=""),"",E52/H52)</f>
        <v/>
      </c>
    </row>
    <row r="53">
      <c r="A53" s="24" t="n"/>
      <c r="B53" s="23" t="n"/>
      <c r="C53" s="23" t="n"/>
      <c r="D53" s="23" t="n"/>
      <c r="E53" s="17" t="n"/>
      <c r="F53" s="23" t="n"/>
      <c r="G53" s="23" t="n"/>
      <c r="H53" s="25">
        <f>IF(B53="","",IF(TRIM(G53&amp;"")="",1,LEN(G53)-LEN(SUBSTITUTE(G53,",",""))+2))</f>
        <v/>
      </c>
      <c r="I53" s="26">
        <f>IF(OR(B53="",E53="",H53=""),"",E53/H53)</f>
        <v/>
      </c>
    </row>
    <row r="54">
      <c r="A54" s="24" t="n"/>
      <c r="B54" s="23" t="n"/>
      <c r="C54" s="23" t="n"/>
      <c r="D54" s="23" t="n"/>
      <c r="E54" s="17" t="n"/>
      <c r="F54" s="23" t="n"/>
      <c r="G54" s="23" t="n"/>
      <c r="H54" s="25">
        <f>IF(B54="","",IF(TRIM(G54&amp;"")="",1,LEN(G54)-LEN(SUBSTITUTE(G54,",",""))+2))</f>
        <v/>
      </c>
      <c r="I54" s="26">
        <f>IF(OR(B54="",E54="",H54=""),"",E54/H54)</f>
        <v/>
      </c>
    </row>
    <row r="55">
      <c r="A55" s="24" t="n"/>
      <c r="B55" s="23" t="n"/>
      <c r="C55" s="23" t="n"/>
      <c r="D55" s="23" t="n"/>
      <c r="E55" s="17" t="n"/>
      <c r="F55" s="23" t="n"/>
      <c r="G55" s="23" t="n"/>
      <c r="H55" s="25">
        <f>IF(B55="","",IF(TRIM(G55&amp;"")="",1,LEN(G55)-LEN(SUBSTITUTE(G55,",",""))+2))</f>
        <v/>
      </c>
      <c r="I55" s="26">
        <f>IF(OR(B55="",E55="",H55=""),"",E55/H55)</f>
        <v/>
      </c>
    </row>
    <row r="56">
      <c r="A56" s="24" t="n"/>
      <c r="B56" s="23" t="n"/>
      <c r="C56" s="23" t="n"/>
      <c r="D56" s="23" t="n"/>
      <c r="E56" s="17" t="n"/>
      <c r="F56" s="23" t="n"/>
      <c r="G56" s="23" t="n"/>
      <c r="H56" s="25">
        <f>IF(B56="","",IF(TRIM(G56&amp;"")="",1,LEN(G56)-LEN(SUBSTITUTE(G56,",",""))+2))</f>
        <v/>
      </c>
      <c r="I56" s="26">
        <f>IF(OR(B56="",E56="",H56=""),"",E56/H56)</f>
        <v/>
      </c>
    </row>
    <row r="57">
      <c r="A57" s="24" t="n"/>
      <c r="B57" s="23" t="n"/>
      <c r="C57" s="23" t="n"/>
      <c r="D57" s="23" t="n"/>
      <c r="E57" s="17" t="n"/>
      <c r="F57" s="23" t="n"/>
      <c r="G57" s="23" t="n"/>
      <c r="H57" s="25">
        <f>IF(B57="","",IF(TRIM(G57&amp;"")="",1,LEN(G57)-LEN(SUBSTITUTE(G57,",",""))+2))</f>
        <v/>
      </c>
      <c r="I57" s="26">
        <f>IF(OR(B57="",E57="",H57=""),"",E57/H57)</f>
        <v/>
      </c>
    </row>
    <row r="58">
      <c r="A58" s="24" t="n"/>
      <c r="B58" s="23" t="n"/>
      <c r="C58" s="23" t="n"/>
      <c r="D58" s="23" t="n"/>
      <c r="E58" s="17" t="n"/>
      <c r="F58" s="23" t="n"/>
      <c r="G58" s="23" t="n"/>
      <c r="H58" s="25">
        <f>IF(B58="","",IF(TRIM(G58&amp;"")="",1,LEN(G58)-LEN(SUBSTITUTE(G58,",",""))+2))</f>
        <v/>
      </c>
      <c r="I58" s="26">
        <f>IF(OR(B58="",E58="",H58=""),"",E58/H58)</f>
        <v/>
      </c>
    </row>
    <row r="59">
      <c r="A59" s="24" t="n"/>
      <c r="B59" s="23" t="n"/>
      <c r="C59" s="23" t="n"/>
      <c r="D59" s="23" t="n"/>
      <c r="E59" s="17" t="n"/>
      <c r="F59" s="23" t="n"/>
      <c r="G59" s="23" t="n"/>
      <c r="H59" s="25">
        <f>IF(B59="","",IF(TRIM(G59&amp;"")="",1,LEN(G59)-LEN(SUBSTITUTE(G59,",",""))+2))</f>
        <v/>
      </c>
      <c r="I59" s="26">
        <f>IF(OR(B59="",E59="",H59=""),"",E59/H59)</f>
        <v/>
      </c>
    </row>
    <row r="60">
      <c r="A60" s="24" t="n"/>
      <c r="B60" s="23" t="n"/>
      <c r="C60" s="23" t="n"/>
      <c r="D60" s="23" t="n"/>
      <c r="E60" s="17" t="n"/>
      <c r="F60" s="23" t="n"/>
      <c r="G60" s="23" t="n"/>
      <c r="H60" s="25">
        <f>IF(B60="","",IF(TRIM(G60&amp;"")="",1,LEN(G60)-LEN(SUBSTITUTE(G60,",",""))+2))</f>
        <v/>
      </c>
      <c r="I60" s="26">
        <f>IF(OR(B60="",E60="",H60=""),"",E60/H60)</f>
        <v/>
      </c>
    </row>
    <row r="61">
      <c r="A61" s="24" t="n"/>
      <c r="B61" s="23" t="n"/>
      <c r="C61" s="23" t="n"/>
      <c r="D61" s="23" t="n"/>
      <c r="E61" s="17" t="n"/>
      <c r="F61" s="23" t="n"/>
      <c r="G61" s="23" t="n"/>
      <c r="H61" s="25">
        <f>IF(B61="","",IF(TRIM(G61&amp;"")="",1,LEN(G61)-LEN(SUBSTITUTE(G61,",",""))+2))</f>
        <v/>
      </c>
      <c r="I61" s="26">
        <f>IF(OR(B61="",E61="",H61=""),"",E61/H61)</f>
        <v/>
      </c>
    </row>
    <row r="62">
      <c r="A62" s="24" t="n"/>
      <c r="B62" s="23" t="n"/>
      <c r="C62" s="23" t="n"/>
      <c r="D62" s="23" t="n"/>
      <c r="E62" s="17" t="n"/>
      <c r="F62" s="23" t="n"/>
      <c r="G62" s="23" t="n"/>
      <c r="H62" s="25">
        <f>IF(B62="","",IF(TRIM(G62&amp;"")="",1,LEN(G62)-LEN(SUBSTITUTE(G62,",",""))+2))</f>
        <v/>
      </c>
      <c r="I62" s="26">
        <f>IF(OR(B62="",E62="",H62=""),"",E62/H62)</f>
        <v/>
      </c>
    </row>
    <row r="63">
      <c r="A63" s="24" t="n"/>
      <c r="B63" s="23" t="n"/>
      <c r="C63" s="23" t="n"/>
      <c r="D63" s="23" t="n"/>
      <c r="E63" s="17" t="n"/>
      <c r="F63" s="23" t="n"/>
      <c r="G63" s="23" t="n"/>
      <c r="H63" s="25">
        <f>IF(B63="","",IF(TRIM(G63&amp;"")="",1,LEN(G63)-LEN(SUBSTITUTE(G63,",",""))+2))</f>
        <v/>
      </c>
      <c r="I63" s="26">
        <f>IF(OR(B63="",E63="",H63=""),"",E63/H63)</f>
        <v/>
      </c>
    </row>
    <row r="64">
      <c r="A64" s="24" t="n"/>
      <c r="B64" s="23" t="n"/>
      <c r="C64" s="23" t="n"/>
      <c r="D64" s="23" t="n"/>
      <c r="E64" s="17" t="n"/>
      <c r="F64" s="23" t="n"/>
      <c r="G64" s="23" t="n"/>
      <c r="H64" s="25">
        <f>IF(B64="","",IF(TRIM(G64&amp;"")="",1,LEN(G64)-LEN(SUBSTITUTE(G64,",",""))+2))</f>
        <v/>
      </c>
      <c r="I64" s="26">
        <f>IF(OR(B64="",E64="",H64=""),"",E64/H64)</f>
        <v/>
      </c>
    </row>
    <row r="65">
      <c r="A65" s="24" t="n"/>
      <c r="B65" s="23" t="n"/>
      <c r="C65" s="23" t="n"/>
      <c r="D65" s="23" t="n"/>
      <c r="E65" s="17" t="n"/>
      <c r="F65" s="23" t="n"/>
      <c r="G65" s="23" t="n"/>
      <c r="H65" s="25">
        <f>IF(B65="","",IF(TRIM(G65&amp;"")="",1,LEN(G65)-LEN(SUBSTITUTE(G65,",",""))+2))</f>
        <v/>
      </c>
      <c r="I65" s="26">
        <f>IF(OR(B65="",E65="",H65=""),"",E65/H65)</f>
        <v/>
      </c>
    </row>
    <row r="66">
      <c r="A66" s="24" t="n"/>
      <c r="B66" s="23" t="n"/>
      <c r="C66" s="23" t="n"/>
      <c r="D66" s="23" t="n"/>
      <c r="E66" s="17" t="n"/>
      <c r="F66" s="23" t="n"/>
      <c r="G66" s="23" t="n"/>
      <c r="H66" s="25">
        <f>IF(B66="","",IF(TRIM(G66&amp;"")="",1,LEN(G66)-LEN(SUBSTITUTE(G66,",",""))+2))</f>
        <v/>
      </c>
      <c r="I66" s="26">
        <f>IF(OR(B66="",E66="",H66=""),"",E66/H66)</f>
        <v/>
      </c>
    </row>
    <row r="67">
      <c r="A67" s="24" t="n"/>
      <c r="B67" s="23" t="n"/>
      <c r="C67" s="23" t="n"/>
      <c r="D67" s="23" t="n"/>
      <c r="E67" s="17" t="n"/>
      <c r="F67" s="23" t="n"/>
      <c r="G67" s="23" t="n"/>
      <c r="H67" s="25">
        <f>IF(B67="","",IF(TRIM(G67&amp;"")="",1,LEN(G67)-LEN(SUBSTITUTE(G67,",",""))+2))</f>
        <v/>
      </c>
      <c r="I67" s="26">
        <f>IF(OR(B67="",E67="",H67=""),"",E67/H67)</f>
        <v/>
      </c>
    </row>
    <row r="68">
      <c r="A68" s="24" t="n"/>
      <c r="B68" s="23" t="n"/>
      <c r="C68" s="23" t="n"/>
      <c r="D68" s="23" t="n"/>
      <c r="E68" s="17" t="n"/>
      <c r="F68" s="23" t="n"/>
      <c r="G68" s="23" t="n"/>
      <c r="H68" s="25">
        <f>IF(B68="","",IF(TRIM(G68&amp;"")="",1,LEN(G68)-LEN(SUBSTITUTE(G68,",",""))+2))</f>
        <v/>
      </c>
      <c r="I68" s="26">
        <f>IF(OR(B68="",E68="",H68=""),"",E68/H68)</f>
        <v/>
      </c>
    </row>
    <row r="69">
      <c r="A69" s="24" t="n"/>
      <c r="B69" s="23" t="n"/>
      <c r="C69" s="23" t="n"/>
      <c r="D69" s="23" t="n"/>
      <c r="E69" s="17" t="n"/>
      <c r="F69" s="23" t="n"/>
      <c r="G69" s="23" t="n"/>
      <c r="H69" s="25">
        <f>IF(B69="","",IF(TRIM(G69&amp;"")="",1,LEN(G69)-LEN(SUBSTITUTE(G69,",",""))+2))</f>
        <v/>
      </c>
      <c r="I69" s="26">
        <f>IF(OR(B69="",E69="",H69=""),"",E69/H69)</f>
        <v/>
      </c>
    </row>
    <row r="70">
      <c r="A70" s="24" t="n"/>
      <c r="B70" s="23" t="n"/>
      <c r="C70" s="23" t="n"/>
      <c r="D70" s="23" t="n"/>
      <c r="E70" s="17" t="n"/>
      <c r="F70" s="23" t="n"/>
      <c r="G70" s="23" t="n"/>
      <c r="H70" s="25">
        <f>IF(B70="","",IF(TRIM(G70&amp;"")="",1,LEN(G70)-LEN(SUBSTITUTE(G70,",",""))+2))</f>
        <v/>
      </c>
      <c r="I70" s="26">
        <f>IF(OR(B70="",E70="",H70=""),"",E70/H70)</f>
        <v/>
      </c>
    </row>
    <row r="71">
      <c r="A71" s="24" t="n"/>
      <c r="B71" s="23" t="n"/>
      <c r="C71" s="23" t="n"/>
      <c r="D71" s="23" t="n"/>
      <c r="E71" s="17" t="n"/>
      <c r="F71" s="23" t="n"/>
      <c r="G71" s="23" t="n"/>
      <c r="H71" s="25">
        <f>IF(B71="","",IF(TRIM(G71&amp;"")="",1,LEN(G71)-LEN(SUBSTITUTE(G71,",",""))+2))</f>
        <v/>
      </c>
      <c r="I71" s="26">
        <f>IF(OR(B71="",E71="",H71=""),"",E71/H71)</f>
        <v/>
      </c>
    </row>
    <row r="72">
      <c r="A72" s="24" t="n"/>
      <c r="B72" s="23" t="n"/>
      <c r="C72" s="23" t="n"/>
      <c r="D72" s="23" t="n"/>
      <c r="E72" s="17" t="n"/>
      <c r="F72" s="23" t="n"/>
      <c r="G72" s="23" t="n"/>
      <c r="H72" s="25">
        <f>IF(B72="","",IF(TRIM(G72&amp;"")="",1,LEN(G72)-LEN(SUBSTITUTE(G72,",",""))+2))</f>
        <v/>
      </c>
      <c r="I72" s="26">
        <f>IF(OR(B72="",E72="",H72=""),"",E72/H72)</f>
        <v/>
      </c>
    </row>
    <row r="73">
      <c r="A73" s="24" t="n"/>
      <c r="B73" s="23" t="n"/>
      <c r="C73" s="23" t="n"/>
      <c r="D73" s="23" t="n"/>
      <c r="E73" s="17" t="n"/>
      <c r="F73" s="23" t="n"/>
      <c r="G73" s="23" t="n"/>
      <c r="H73" s="25">
        <f>IF(B73="","",IF(TRIM(G73&amp;"")="",1,LEN(G73)-LEN(SUBSTITUTE(G73,",",""))+2))</f>
        <v/>
      </c>
      <c r="I73" s="26">
        <f>IF(OR(B73="",E73="",H73=""),"",E73/H73)</f>
        <v/>
      </c>
    </row>
    <row r="74">
      <c r="A74" s="24" t="n"/>
      <c r="B74" s="23" t="n"/>
      <c r="C74" s="23" t="n"/>
      <c r="D74" s="23" t="n"/>
      <c r="E74" s="17" t="n"/>
      <c r="F74" s="23" t="n"/>
      <c r="G74" s="23" t="n"/>
      <c r="H74" s="25">
        <f>IF(B74="","",IF(TRIM(G74&amp;"")="",1,LEN(G74)-LEN(SUBSTITUTE(G74,",",""))+2))</f>
        <v/>
      </c>
      <c r="I74" s="26">
        <f>IF(OR(B74="",E74="",H74=""),"",E74/H74)</f>
        <v/>
      </c>
    </row>
    <row r="75">
      <c r="A75" s="24" t="n"/>
      <c r="B75" s="23" t="n"/>
      <c r="C75" s="23" t="n"/>
      <c r="D75" s="23" t="n"/>
      <c r="E75" s="17" t="n"/>
      <c r="F75" s="23" t="n"/>
      <c r="G75" s="23" t="n"/>
      <c r="H75" s="25">
        <f>IF(B75="","",IF(TRIM(G75&amp;"")="",1,LEN(G75)-LEN(SUBSTITUTE(G75,",",""))+2))</f>
        <v/>
      </c>
      <c r="I75" s="26">
        <f>IF(OR(B75="",E75="",H75=""),"",E75/H75)</f>
        <v/>
      </c>
    </row>
    <row r="76">
      <c r="A76" s="24" t="n"/>
      <c r="B76" s="23" t="n"/>
      <c r="C76" s="23" t="n"/>
      <c r="D76" s="23" t="n"/>
      <c r="E76" s="17" t="n"/>
      <c r="F76" s="23" t="n"/>
      <c r="G76" s="23" t="n"/>
      <c r="H76" s="25">
        <f>IF(B76="","",IF(TRIM(G76&amp;"")="",1,LEN(G76)-LEN(SUBSTITUTE(G76,",",""))+2))</f>
        <v/>
      </c>
      <c r="I76" s="26">
        <f>IF(OR(B76="",E76="",H76=""),"",E76/H76)</f>
        <v/>
      </c>
    </row>
    <row r="77">
      <c r="A77" s="24" t="n"/>
      <c r="B77" s="23" t="n"/>
      <c r="C77" s="23" t="n"/>
      <c r="D77" s="23" t="n"/>
      <c r="E77" s="17" t="n"/>
      <c r="F77" s="23" t="n"/>
      <c r="G77" s="23" t="n"/>
      <c r="H77" s="25">
        <f>IF(B77="","",IF(TRIM(G77&amp;"")="",1,LEN(G77)-LEN(SUBSTITUTE(G77,",",""))+2))</f>
        <v/>
      </c>
      <c r="I77" s="26">
        <f>IF(OR(B77="",E77="",H77=""),"",E77/H77)</f>
        <v/>
      </c>
    </row>
    <row r="78">
      <c r="A78" s="24" t="n"/>
      <c r="B78" s="23" t="n"/>
      <c r="C78" s="23" t="n"/>
      <c r="D78" s="23" t="n"/>
      <c r="E78" s="17" t="n"/>
      <c r="F78" s="23" t="n"/>
      <c r="G78" s="23" t="n"/>
      <c r="H78" s="25">
        <f>IF(B78="","",IF(TRIM(G78&amp;"")="",1,LEN(G78)-LEN(SUBSTITUTE(G78,",",""))+2))</f>
        <v/>
      </c>
      <c r="I78" s="26">
        <f>IF(OR(B78="",E78="",H78=""),"",E78/H78)</f>
        <v/>
      </c>
    </row>
    <row r="79">
      <c r="A79" s="24" t="n"/>
      <c r="B79" s="23" t="n"/>
      <c r="C79" s="23" t="n"/>
      <c r="D79" s="23" t="n"/>
      <c r="E79" s="17" t="n"/>
      <c r="F79" s="23" t="n"/>
      <c r="G79" s="23" t="n"/>
      <c r="H79" s="25">
        <f>IF(B79="","",IF(TRIM(G79&amp;"")="",1,LEN(G79)-LEN(SUBSTITUTE(G79,",",""))+2))</f>
        <v/>
      </c>
      <c r="I79" s="26">
        <f>IF(OR(B79="",E79="",H79=""),"",E79/H79)</f>
        <v/>
      </c>
    </row>
    <row r="80">
      <c r="A80" s="24" t="n"/>
      <c r="B80" s="23" t="n"/>
      <c r="C80" s="23" t="n"/>
      <c r="D80" s="23" t="n"/>
      <c r="E80" s="17" t="n"/>
      <c r="F80" s="23" t="n"/>
      <c r="G80" s="23" t="n"/>
      <c r="H80" s="25">
        <f>IF(B80="","",IF(TRIM(G80&amp;"")="",1,LEN(G80)-LEN(SUBSTITUTE(G80,",",""))+2))</f>
        <v/>
      </c>
      <c r="I80" s="26">
        <f>IF(OR(B80="",E80="",H80=""),"",E80/H80)</f>
        <v/>
      </c>
    </row>
    <row r="81">
      <c r="A81" s="24" t="n"/>
      <c r="B81" s="23" t="n"/>
      <c r="C81" s="23" t="n"/>
      <c r="D81" s="23" t="n"/>
      <c r="E81" s="17" t="n"/>
      <c r="F81" s="23" t="n"/>
      <c r="G81" s="23" t="n"/>
      <c r="H81" s="25">
        <f>IF(B81="","",IF(TRIM(G81&amp;"")="",1,LEN(G81)-LEN(SUBSTITUTE(G81,",",""))+2))</f>
        <v/>
      </c>
      <c r="I81" s="26">
        <f>IF(OR(B81="",E81="",H81=""),"",E81/H81)</f>
        <v/>
      </c>
    </row>
    <row r="82">
      <c r="A82" s="24" t="n"/>
      <c r="B82" s="23" t="n"/>
      <c r="C82" s="23" t="n"/>
      <c r="D82" s="23" t="n"/>
      <c r="E82" s="17" t="n"/>
      <c r="F82" s="23" t="n"/>
      <c r="G82" s="23" t="n"/>
      <c r="H82" s="25">
        <f>IF(B82="","",IF(TRIM(G82&amp;"")="",1,LEN(G82)-LEN(SUBSTITUTE(G82,",",""))+2))</f>
        <v/>
      </c>
      <c r="I82" s="26">
        <f>IF(OR(B82="",E82="",H82=""),"",E82/H82)</f>
        <v/>
      </c>
    </row>
    <row r="83">
      <c r="A83" s="24" t="n"/>
      <c r="B83" s="23" t="n"/>
      <c r="C83" s="23" t="n"/>
      <c r="D83" s="23" t="n"/>
      <c r="E83" s="17" t="n"/>
      <c r="F83" s="23" t="n"/>
      <c r="G83" s="23" t="n"/>
      <c r="H83" s="25">
        <f>IF(B83="","",IF(TRIM(G83&amp;"")="",1,LEN(G83)-LEN(SUBSTITUTE(G83,",",""))+2))</f>
        <v/>
      </c>
      <c r="I83" s="26">
        <f>IF(OR(B83="",E83="",H83=""),"",E83/H83)</f>
        <v/>
      </c>
    </row>
    <row r="84">
      <c r="A84" s="24" t="n"/>
      <c r="B84" s="23" t="n"/>
      <c r="C84" s="23" t="n"/>
      <c r="D84" s="23" t="n"/>
      <c r="E84" s="17" t="n"/>
      <c r="F84" s="23" t="n"/>
      <c r="G84" s="23" t="n"/>
      <c r="H84" s="25">
        <f>IF(B84="","",IF(TRIM(G84&amp;"")="",1,LEN(G84)-LEN(SUBSTITUTE(G84,",",""))+2))</f>
        <v/>
      </c>
      <c r="I84" s="26">
        <f>IF(OR(B84="",E84="",H84=""),"",E84/H84)</f>
        <v/>
      </c>
    </row>
    <row r="85">
      <c r="A85" s="24" t="n"/>
      <c r="B85" s="23" t="n"/>
      <c r="C85" s="23" t="n"/>
      <c r="D85" s="23" t="n"/>
      <c r="E85" s="17" t="n"/>
      <c r="F85" s="23" t="n"/>
      <c r="G85" s="23" t="n"/>
      <c r="H85" s="25">
        <f>IF(B85="","",IF(TRIM(G85&amp;"")="",1,LEN(G85)-LEN(SUBSTITUTE(G85,",",""))+2))</f>
        <v/>
      </c>
      <c r="I85" s="26">
        <f>IF(OR(B85="",E85="",H85=""),"",E85/H85)</f>
        <v/>
      </c>
    </row>
    <row r="86">
      <c r="A86" s="24" t="n"/>
      <c r="B86" s="23" t="n"/>
      <c r="C86" s="23" t="n"/>
      <c r="D86" s="23" t="n"/>
      <c r="E86" s="17" t="n"/>
      <c r="F86" s="23" t="n"/>
      <c r="G86" s="23" t="n"/>
      <c r="H86" s="25">
        <f>IF(B86="","",IF(TRIM(G86&amp;"")="",1,LEN(G86)-LEN(SUBSTITUTE(G86,",",""))+2))</f>
        <v/>
      </c>
      <c r="I86" s="26">
        <f>IF(OR(B86="",E86="",H86=""),"",E86/H86)</f>
        <v/>
      </c>
    </row>
    <row r="87">
      <c r="A87" s="24" t="n"/>
      <c r="B87" s="23" t="n"/>
      <c r="C87" s="23" t="n"/>
      <c r="D87" s="23" t="n"/>
      <c r="E87" s="17" t="n"/>
      <c r="F87" s="23" t="n"/>
      <c r="G87" s="23" t="n"/>
      <c r="H87" s="25">
        <f>IF(B87="","",IF(TRIM(G87&amp;"")="",1,LEN(G87)-LEN(SUBSTITUTE(G87,",",""))+2))</f>
        <v/>
      </c>
      <c r="I87" s="26">
        <f>IF(OR(B87="",E87="",H87=""),"",E87/H87)</f>
        <v/>
      </c>
    </row>
    <row r="88">
      <c r="A88" s="24" t="n"/>
      <c r="B88" s="23" t="n"/>
      <c r="C88" s="23" t="n"/>
      <c r="D88" s="23" t="n"/>
      <c r="E88" s="17" t="n"/>
      <c r="F88" s="23" t="n"/>
      <c r="G88" s="23" t="n"/>
      <c r="H88" s="25">
        <f>IF(B88="","",IF(TRIM(G88&amp;"")="",1,LEN(G88)-LEN(SUBSTITUTE(G88,",",""))+2))</f>
        <v/>
      </c>
      <c r="I88" s="26">
        <f>IF(OR(B88="",E88="",H88=""),"",E88/H88)</f>
        <v/>
      </c>
    </row>
    <row r="89">
      <c r="A89" s="24" t="n"/>
      <c r="B89" s="23" t="n"/>
      <c r="C89" s="23" t="n"/>
      <c r="D89" s="23" t="n"/>
      <c r="E89" s="17" t="n"/>
      <c r="F89" s="23" t="n"/>
      <c r="G89" s="23" t="n"/>
      <c r="H89" s="25">
        <f>IF(B89="","",IF(TRIM(G89&amp;"")="",1,LEN(G89)-LEN(SUBSTITUTE(G89,",",""))+2))</f>
        <v/>
      </c>
      <c r="I89" s="26">
        <f>IF(OR(B89="",E89="",H89=""),"",E89/H89)</f>
        <v/>
      </c>
    </row>
    <row r="90">
      <c r="A90" s="24" t="n"/>
      <c r="B90" s="23" t="n"/>
      <c r="C90" s="23" t="n"/>
      <c r="D90" s="23" t="n"/>
      <c r="E90" s="17" t="n"/>
      <c r="F90" s="23" t="n"/>
      <c r="G90" s="23" t="n"/>
      <c r="H90" s="25">
        <f>IF(B90="","",IF(TRIM(G90&amp;"")="",1,LEN(G90)-LEN(SUBSTITUTE(G90,",",""))+2))</f>
        <v/>
      </c>
      <c r="I90" s="26">
        <f>IF(OR(B90="",E90="",H90=""),"",E90/H90)</f>
        <v/>
      </c>
    </row>
    <row r="91">
      <c r="A91" s="24" t="n"/>
      <c r="B91" s="23" t="n"/>
      <c r="C91" s="23" t="n"/>
      <c r="D91" s="23" t="n"/>
      <c r="E91" s="17" t="n"/>
      <c r="F91" s="23" t="n"/>
      <c r="G91" s="23" t="n"/>
      <c r="H91" s="25">
        <f>IF(B91="","",IF(TRIM(G91&amp;"")="",1,LEN(G91)-LEN(SUBSTITUTE(G91,",",""))+2))</f>
        <v/>
      </c>
      <c r="I91" s="26">
        <f>IF(OR(B91="",E91="",H91=""),"",E91/H91)</f>
        <v/>
      </c>
    </row>
    <row r="92">
      <c r="A92" s="24" t="n"/>
      <c r="B92" s="23" t="n"/>
      <c r="C92" s="23" t="n"/>
      <c r="D92" s="23" t="n"/>
      <c r="E92" s="17" t="n"/>
      <c r="F92" s="23" t="n"/>
      <c r="G92" s="23" t="n"/>
      <c r="H92" s="25">
        <f>IF(B92="","",IF(TRIM(G92&amp;"")="",1,LEN(G92)-LEN(SUBSTITUTE(G92,",",""))+2))</f>
        <v/>
      </c>
      <c r="I92" s="26">
        <f>IF(OR(B92="",E92="",H92=""),"",E92/H92)</f>
        <v/>
      </c>
    </row>
    <row r="93">
      <c r="A93" s="24" t="n"/>
      <c r="B93" s="23" t="n"/>
      <c r="C93" s="23" t="n"/>
      <c r="D93" s="23" t="n"/>
      <c r="E93" s="17" t="n"/>
      <c r="F93" s="23" t="n"/>
      <c r="G93" s="23" t="n"/>
      <c r="H93" s="25">
        <f>IF(B93="","",IF(TRIM(G93&amp;"")="",1,LEN(G93)-LEN(SUBSTITUTE(G93,",",""))+2))</f>
        <v/>
      </c>
      <c r="I93" s="26">
        <f>IF(OR(B93="",E93="",H93=""),"",E93/H93)</f>
        <v/>
      </c>
    </row>
    <row r="94">
      <c r="A94" s="24" t="n"/>
      <c r="B94" s="23" t="n"/>
      <c r="C94" s="23" t="n"/>
      <c r="D94" s="23" t="n"/>
      <c r="E94" s="17" t="n"/>
      <c r="F94" s="23" t="n"/>
      <c r="G94" s="23" t="n"/>
      <c r="H94" s="25">
        <f>IF(B94="","",IF(TRIM(G94&amp;"")="",1,LEN(G94)-LEN(SUBSTITUTE(G94,",",""))+2))</f>
        <v/>
      </c>
      <c r="I94" s="26">
        <f>IF(OR(B94="",E94="",H94=""),"",E94/H94)</f>
        <v/>
      </c>
    </row>
    <row r="95">
      <c r="A95" s="24" t="n"/>
      <c r="B95" s="23" t="n"/>
      <c r="C95" s="23" t="n"/>
      <c r="D95" s="23" t="n"/>
      <c r="E95" s="17" t="n"/>
      <c r="F95" s="23" t="n"/>
      <c r="G95" s="23" t="n"/>
      <c r="H95" s="25">
        <f>IF(B95="","",IF(TRIM(G95&amp;"")="",1,LEN(G95)-LEN(SUBSTITUTE(G95,",",""))+2))</f>
        <v/>
      </c>
      <c r="I95" s="26">
        <f>IF(OR(B95="",E95="",H95=""),"",E95/H95)</f>
        <v/>
      </c>
    </row>
    <row r="96">
      <c r="A96" s="24" t="n"/>
      <c r="B96" s="23" t="n"/>
      <c r="C96" s="23" t="n"/>
      <c r="D96" s="23" t="n"/>
      <c r="E96" s="17" t="n"/>
      <c r="F96" s="23" t="n"/>
      <c r="G96" s="23" t="n"/>
      <c r="H96" s="25">
        <f>IF(B96="","",IF(TRIM(G96&amp;"")="",1,LEN(G96)-LEN(SUBSTITUTE(G96,",",""))+2))</f>
        <v/>
      </c>
      <c r="I96" s="26">
        <f>IF(OR(B96="",E96="",H96=""),"",E96/H96)</f>
        <v/>
      </c>
    </row>
    <row r="97">
      <c r="A97" s="24" t="n"/>
      <c r="B97" s="23" t="n"/>
      <c r="C97" s="23" t="n"/>
      <c r="D97" s="23" t="n"/>
      <c r="E97" s="17" t="n"/>
      <c r="F97" s="23" t="n"/>
      <c r="G97" s="23" t="n"/>
      <c r="H97" s="25">
        <f>IF(B97="","",IF(TRIM(G97&amp;"")="",1,LEN(G97)-LEN(SUBSTITUTE(G97,",",""))+2))</f>
        <v/>
      </c>
      <c r="I97" s="26">
        <f>IF(OR(B97="",E97="",H97=""),"",E97/H97)</f>
        <v/>
      </c>
    </row>
    <row r="98">
      <c r="A98" s="24" t="n"/>
      <c r="B98" s="23" t="n"/>
      <c r="C98" s="23" t="n"/>
      <c r="D98" s="23" t="n"/>
      <c r="E98" s="17" t="n"/>
      <c r="F98" s="23" t="n"/>
      <c r="G98" s="23" t="n"/>
      <c r="H98" s="25">
        <f>IF(B98="","",IF(TRIM(G98&amp;"")="",1,LEN(G98)-LEN(SUBSTITUTE(G98,",",""))+2))</f>
        <v/>
      </c>
      <c r="I98" s="26">
        <f>IF(OR(B98="",E98="",H98=""),"",E98/H98)</f>
        <v/>
      </c>
    </row>
    <row r="99">
      <c r="A99" s="24" t="n"/>
      <c r="B99" s="23" t="n"/>
      <c r="C99" s="23" t="n"/>
      <c r="D99" s="23" t="n"/>
      <c r="E99" s="17" t="n"/>
      <c r="F99" s="23" t="n"/>
      <c r="G99" s="23" t="n"/>
      <c r="H99" s="25">
        <f>IF(B99="","",IF(TRIM(G99&amp;"")="",1,LEN(G99)-LEN(SUBSTITUTE(G99,",",""))+2))</f>
        <v/>
      </c>
      <c r="I99" s="26">
        <f>IF(OR(B99="",E99="",H99=""),"",E99/H99)</f>
        <v/>
      </c>
    </row>
    <row r="100">
      <c r="A100" s="24" t="n"/>
      <c r="B100" s="23" t="n"/>
      <c r="C100" s="23" t="n"/>
      <c r="D100" s="23" t="n"/>
      <c r="E100" s="17" t="n"/>
      <c r="F100" s="23" t="n"/>
      <c r="G100" s="23" t="n"/>
      <c r="H100" s="25">
        <f>IF(B100="","",IF(TRIM(G100&amp;"")="",1,LEN(G100)-LEN(SUBSTITUTE(G100,",",""))+2))</f>
        <v/>
      </c>
      <c r="I100" s="26">
        <f>IF(OR(B100="",E100="",H100=""),"",E100/H100)</f>
        <v/>
      </c>
    </row>
    <row r="101">
      <c r="A101" s="24" t="n"/>
      <c r="B101" s="23" t="n"/>
      <c r="C101" s="23" t="n"/>
      <c r="D101" s="23" t="n"/>
      <c r="E101" s="17" t="n"/>
      <c r="F101" s="23" t="n"/>
      <c r="G101" s="23" t="n"/>
      <c r="H101" s="25">
        <f>IF(B101="","",IF(TRIM(G101&amp;"")="",1,LEN(G101)-LEN(SUBSTITUTE(G101,",",""))+2))</f>
        <v/>
      </c>
      <c r="I101" s="26">
        <f>IF(OR(B101="",E101="",H101=""),"",E101/H101)</f>
        <v/>
      </c>
    </row>
    <row r="102">
      <c r="A102" s="24" t="n"/>
      <c r="B102" s="23" t="n"/>
      <c r="C102" s="23" t="n"/>
      <c r="D102" s="23" t="n"/>
      <c r="E102" s="17" t="n"/>
      <c r="F102" s="23" t="n"/>
      <c r="G102" s="23" t="n"/>
      <c r="H102" s="25">
        <f>IF(B102="","",IF(TRIM(G102&amp;"")="",1,LEN(G102)-LEN(SUBSTITUTE(G102,",",""))+2))</f>
        <v/>
      </c>
      <c r="I102" s="26">
        <f>IF(OR(B102="",E102="",H102=""),"",E102/H102)</f>
        <v/>
      </c>
    </row>
    <row r="103">
      <c r="A103" s="24" t="n"/>
      <c r="B103" s="23" t="n"/>
      <c r="C103" s="23" t="n"/>
      <c r="D103" s="23" t="n"/>
      <c r="E103" s="17" t="n"/>
      <c r="F103" s="23" t="n"/>
      <c r="G103" s="23" t="n"/>
      <c r="H103" s="25">
        <f>IF(B103="","",IF(TRIM(G103&amp;"")="",1,LEN(G103)-LEN(SUBSTITUTE(G103,",",""))+2))</f>
        <v/>
      </c>
      <c r="I103" s="26">
        <f>IF(OR(B103="",E103="",H103=""),"",E103/H103)</f>
        <v/>
      </c>
    </row>
    <row r="104">
      <c r="A104" s="24" t="n"/>
      <c r="B104" s="23" t="n"/>
      <c r="C104" s="23" t="n"/>
      <c r="D104" s="23" t="n"/>
      <c r="E104" s="17" t="n"/>
      <c r="F104" s="23" t="n"/>
      <c r="G104" s="23" t="n"/>
      <c r="H104" s="25">
        <f>IF(B104="","",IF(TRIM(G104&amp;"")="",1,LEN(G104)-LEN(SUBSTITUTE(G104,",",""))+2))</f>
        <v/>
      </c>
      <c r="I104" s="26">
        <f>IF(OR(B104="",E104="",H104=""),"",E104/H104)</f>
        <v/>
      </c>
    </row>
    <row r="105">
      <c r="A105" s="24" t="n"/>
      <c r="B105" s="23" t="n"/>
      <c r="C105" s="23" t="n"/>
      <c r="D105" s="23" t="n"/>
      <c r="E105" s="17" t="n"/>
      <c r="F105" s="23" t="n"/>
      <c r="G105" s="23" t="n"/>
      <c r="H105" s="25">
        <f>IF(B105="","",IF(TRIM(G105&amp;"")="",1,LEN(G105)-LEN(SUBSTITUTE(G105,",",""))+2))</f>
        <v/>
      </c>
      <c r="I105" s="26">
        <f>IF(OR(B105="",E105="",H105=""),"",E105/H105)</f>
        <v/>
      </c>
    </row>
    <row r="106">
      <c r="A106" s="24" t="n"/>
      <c r="B106" s="23" t="n"/>
      <c r="C106" s="23" t="n"/>
      <c r="D106" s="23" t="n"/>
      <c r="E106" s="17" t="n"/>
      <c r="F106" s="23" t="n"/>
      <c r="G106" s="23" t="n"/>
      <c r="H106" s="25">
        <f>IF(B106="","",IF(TRIM(G106&amp;"")="",1,LEN(G106)-LEN(SUBSTITUTE(G106,",",""))+2))</f>
        <v/>
      </c>
      <c r="I106" s="26">
        <f>IF(OR(B106="",E106="",H106=""),"",E106/H106)</f>
        <v/>
      </c>
    </row>
    <row r="107">
      <c r="A107" s="24" t="n"/>
      <c r="B107" s="23" t="n"/>
      <c r="C107" s="23" t="n"/>
      <c r="D107" s="23" t="n"/>
      <c r="E107" s="17" t="n"/>
      <c r="F107" s="23" t="n"/>
      <c r="G107" s="23" t="n"/>
      <c r="H107" s="25">
        <f>IF(B107="","",IF(TRIM(G107&amp;"")="",1,LEN(G107)-LEN(SUBSTITUTE(G107,",",""))+2))</f>
        <v/>
      </c>
      <c r="I107" s="26">
        <f>IF(OR(B107="",E107="",H107=""),"",E107/H107)</f>
        <v/>
      </c>
    </row>
    <row r="108">
      <c r="A108" s="24" t="n"/>
      <c r="B108" s="23" t="n"/>
      <c r="C108" s="23" t="n"/>
      <c r="D108" s="23" t="n"/>
      <c r="E108" s="17" t="n"/>
      <c r="F108" s="23" t="n"/>
      <c r="G108" s="23" t="n"/>
      <c r="H108" s="25">
        <f>IF(B108="","",IF(TRIM(G108&amp;"")="",1,LEN(G108)-LEN(SUBSTITUTE(G108,",",""))+2))</f>
        <v/>
      </c>
      <c r="I108" s="26">
        <f>IF(OR(B108="",E108="",H108=""),"",E108/H108)</f>
        <v/>
      </c>
    </row>
    <row r="109">
      <c r="A109" s="24" t="n"/>
      <c r="B109" s="23" t="n"/>
      <c r="C109" s="23" t="n"/>
      <c r="D109" s="23" t="n"/>
      <c r="E109" s="17" t="n"/>
      <c r="F109" s="23" t="n"/>
      <c r="G109" s="23" t="n"/>
      <c r="H109" s="25">
        <f>IF(B109="","",IF(TRIM(G109&amp;"")="",1,LEN(G109)-LEN(SUBSTITUTE(G109,",",""))+2))</f>
        <v/>
      </c>
      <c r="I109" s="26">
        <f>IF(OR(B109="",E109="",H109=""),"",E109/H109)</f>
        <v/>
      </c>
    </row>
    <row r="110">
      <c r="A110" s="24" t="n"/>
      <c r="B110" s="23" t="n"/>
      <c r="C110" s="23" t="n"/>
      <c r="D110" s="23" t="n"/>
      <c r="E110" s="17" t="n"/>
      <c r="F110" s="23" t="n"/>
      <c r="G110" s="23" t="n"/>
      <c r="H110" s="25">
        <f>IF(B110="","",IF(TRIM(G110&amp;"")="",1,LEN(G110)-LEN(SUBSTITUTE(G110,",",""))+2))</f>
        <v/>
      </c>
      <c r="I110" s="26">
        <f>IF(OR(B110="",E110="",H110=""),"",E110/H110)</f>
        <v/>
      </c>
    </row>
    <row r="111">
      <c r="A111" s="24" t="n"/>
      <c r="B111" s="23" t="n"/>
      <c r="C111" s="23" t="n"/>
      <c r="D111" s="23" t="n"/>
      <c r="E111" s="17" t="n"/>
      <c r="F111" s="23" t="n"/>
      <c r="G111" s="23" t="n"/>
      <c r="H111" s="25">
        <f>IF(B111="","",IF(TRIM(G111&amp;"")="",1,LEN(G111)-LEN(SUBSTITUTE(G111,",",""))+2))</f>
        <v/>
      </c>
      <c r="I111" s="26">
        <f>IF(OR(B111="",E111="",H111=""),"",E111/H111)</f>
        <v/>
      </c>
    </row>
    <row r="112">
      <c r="A112" s="24" t="n"/>
      <c r="B112" s="23" t="n"/>
      <c r="C112" s="23" t="n"/>
      <c r="D112" s="23" t="n"/>
      <c r="E112" s="17" t="n"/>
      <c r="F112" s="23" t="n"/>
      <c r="G112" s="23" t="n"/>
      <c r="H112" s="25">
        <f>IF(B112="","",IF(TRIM(G112&amp;"")="",1,LEN(G112)-LEN(SUBSTITUTE(G112,",",""))+2))</f>
        <v/>
      </c>
      <c r="I112" s="26">
        <f>IF(OR(B112="",E112="",H112=""),"",E112/H112)</f>
        <v/>
      </c>
    </row>
    <row r="113">
      <c r="A113" s="24" t="n"/>
      <c r="B113" s="23" t="n"/>
      <c r="C113" s="23" t="n"/>
      <c r="D113" s="23" t="n"/>
      <c r="E113" s="17" t="n"/>
      <c r="F113" s="23" t="n"/>
      <c r="G113" s="23" t="n"/>
      <c r="H113" s="25">
        <f>IF(B113="","",IF(TRIM(G113&amp;"")="",1,LEN(G113)-LEN(SUBSTITUTE(G113,",",""))+2))</f>
        <v/>
      </c>
      <c r="I113" s="26">
        <f>IF(OR(B113="",E113="",H113=""),"",E113/H113)</f>
        <v/>
      </c>
    </row>
    <row r="114">
      <c r="A114" s="24" t="n"/>
      <c r="B114" s="23" t="n"/>
      <c r="C114" s="23" t="n"/>
      <c r="D114" s="23" t="n"/>
      <c r="E114" s="17" t="n"/>
      <c r="F114" s="23" t="n"/>
      <c r="G114" s="23" t="n"/>
      <c r="H114" s="25">
        <f>IF(B114="","",IF(TRIM(G114&amp;"")="",1,LEN(G114)-LEN(SUBSTITUTE(G114,",",""))+2))</f>
        <v/>
      </c>
      <c r="I114" s="26">
        <f>IF(OR(B114="",E114="",H114=""),"",E114/H114)</f>
        <v/>
      </c>
    </row>
    <row r="115">
      <c r="A115" s="24" t="n"/>
      <c r="B115" s="23" t="n"/>
      <c r="C115" s="23" t="n"/>
      <c r="D115" s="23" t="n"/>
      <c r="E115" s="17" t="n"/>
      <c r="F115" s="23" t="n"/>
      <c r="G115" s="23" t="n"/>
      <c r="H115" s="25">
        <f>IF(B115="","",IF(TRIM(G115&amp;"")="",1,LEN(G115)-LEN(SUBSTITUTE(G115,",",""))+2))</f>
        <v/>
      </c>
      <c r="I115" s="26">
        <f>IF(OR(B115="",E115="",H115=""),"",E115/H115)</f>
        <v/>
      </c>
    </row>
    <row r="116">
      <c r="A116" s="24" t="n"/>
      <c r="B116" s="23" t="n"/>
      <c r="C116" s="23" t="n"/>
      <c r="D116" s="23" t="n"/>
      <c r="E116" s="17" t="n"/>
      <c r="F116" s="23" t="n"/>
      <c r="G116" s="23" t="n"/>
      <c r="H116" s="25">
        <f>IF(B116="","",IF(TRIM(G116&amp;"")="",1,LEN(G116)-LEN(SUBSTITUTE(G116,",",""))+2))</f>
        <v/>
      </c>
      <c r="I116" s="26">
        <f>IF(OR(B116="",E116="",H116=""),"",E116/H116)</f>
        <v/>
      </c>
    </row>
    <row r="117">
      <c r="A117" s="24" t="n"/>
      <c r="B117" s="23" t="n"/>
      <c r="C117" s="23" t="n"/>
      <c r="D117" s="23" t="n"/>
      <c r="E117" s="17" t="n"/>
      <c r="F117" s="23" t="n"/>
      <c r="G117" s="23" t="n"/>
      <c r="H117" s="25">
        <f>IF(B117="","",IF(TRIM(G117&amp;"")="",1,LEN(G117)-LEN(SUBSTITUTE(G117,",",""))+2))</f>
        <v/>
      </c>
      <c r="I117" s="26">
        <f>IF(OR(B117="",E117="",H117=""),"",E117/H117)</f>
        <v/>
      </c>
    </row>
    <row r="118">
      <c r="A118" s="24" t="n"/>
      <c r="B118" s="23" t="n"/>
      <c r="C118" s="23" t="n"/>
      <c r="D118" s="23" t="n"/>
      <c r="E118" s="17" t="n"/>
      <c r="F118" s="23" t="n"/>
      <c r="G118" s="23" t="n"/>
      <c r="H118" s="25">
        <f>IF(B118="","",IF(TRIM(G118&amp;"")="",1,LEN(G118)-LEN(SUBSTITUTE(G118,",",""))+2))</f>
        <v/>
      </c>
      <c r="I118" s="26">
        <f>IF(OR(B118="",E118="",H118=""),"",E118/H118)</f>
        <v/>
      </c>
    </row>
    <row r="119">
      <c r="A119" s="24" t="n"/>
      <c r="B119" s="23" t="n"/>
      <c r="C119" s="23" t="n"/>
      <c r="D119" s="23" t="n"/>
      <c r="E119" s="17" t="n"/>
      <c r="F119" s="23" t="n"/>
      <c r="G119" s="23" t="n"/>
      <c r="H119" s="25">
        <f>IF(B119="","",IF(TRIM(G119&amp;"")="",1,LEN(G119)-LEN(SUBSTITUTE(G119,",",""))+2))</f>
        <v/>
      </c>
      <c r="I119" s="26">
        <f>IF(OR(B119="",E119="",H119=""),"",E119/H119)</f>
        <v/>
      </c>
    </row>
    <row r="120">
      <c r="A120" s="24" t="n"/>
      <c r="B120" s="23" t="n"/>
      <c r="C120" s="23" t="n"/>
      <c r="D120" s="23" t="n"/>
      <c r="E120" s="17" t="n"/>
      <c r="F120" s="23" t="n"/>
      <c r="G120" s="23" t="n"/>
      <c r="H120" s="25">
        <f>IF(B120="","",IF(TRIM(G120&amp;"")="",1,LEN(G120)-LEN(SUBSTITUTE(G120,",",""))+2))</f>
        <v/>
      </c>
      <c r="I120" s="26">
        <f>IF(OR(B120="",E120="",H120=""),"",E120/H120)</f>
        <v/>
      </c>
    </row>
    <row r="121">
      <c r="A121" s="24" t="n"/>
      <c r="B121" s="23" t="n"/>
      <c r="C121" s="23" t="n"/>
      <c r="D121" s="23" t="n"/>
      <c r="E121" s="17" t="n"/>
      <c r="F121" s="23" t="n"/>
      <c r="G121" s="23" t="n"/>
      <c r="H121" s="25">
        <f>IF(B121="","",IF(TRIM(G121&amp;"")="",1,LEN(G121)-LEN(SUBSTITUTE(G121,",",""))+2))</f>
        <v/>
      </c>
      <c r="I121" s="26">
        <f>IF(OR(B121="",E121="",H121=""),"",E121/H121)</f>
        <v/>
      </c>
    </row>
    <row r="122">
      <c r="A122" s="24" t="n"/>
      <c r="B122" s="23" t="n"/>
      <c r="C122" s="23" t="n"/>
      <c r="D122" s="23" t="n"/>
      <c r="E122" s="17" t="n"/>
      <c r="F122" s="23" t="n"/>
      <c r="G122" s="23" t="n"/>
      <c r="H122" s="25">
        <f>IF(B122="","",IF(TRIM(G122&amp;"")="",1,LEN(G122)-LEN(SUBSTITUTE(G122,",",""))+2))</f>
        <v/>
      </c>
      <c r="I122" s="26">
        <f>IF(OR(B122="",E122="",H122=""),"",E122/H122)</f>
        <v/>
      </c>
    </row>
    <row r="123">
      <c r="A123" s="24" t="n"/>
      <c r="B123" s="23" t="n"/>
      <c r="C123" s="23" t="n"/>
      <c r="D123" s="23" t="n"/>
      <c r="E123" s="17" t="n"/>
      <c r="F123" s="23" t="n"/>
      <c r="G123" s="23" t="n"/>
      <c r="H123" s="25">
        <f>IF(B123="","",IF(TRIM(G123&amp;"")="",1,LEN(G123)-LEN(SUBSTITUTE(G123,",",""))+2))</f>
        <v/>
      </c>
      <c r="I123" s="26">
        <f>IF(OR(B123="",E123="",H123=""),"",E123/H123)</f>
        <v/>
      </c>
    </row>
    <row r="124">
      <c r="A124" s="24" t="n"/>
      <c r="B124" s="23" t="n"/>
      <c r="C124" s="23" t="n"/>
      <c r="D124" s="23" t="n"/>
      <c r="E124" s="17" t="n"/>
      <c r="F124" s="23" t="n"/>
      <c r="G124" s="23" t="n"/>
      <c r="H124" s="25">
        <f>IF(B124="","",IF(TRIM(G124&amp;"")="",1,LEN(G124)-LEN(SUBSTITUTE(G124,",",""))+2))</f>
        <v/>
      </c>
      <c r="I124" s="26">
        <f>IF(OR(B124="",E124="",H124=""),"",E124/H124)</f>
        <v/>
      </c>
    </row>
    <row r="125">
      <c r="A125" s="24" t="n"/>
      <c r="B125" s="23" t="n"/>
      <c r="C125" s="23" t="n"/>
      <c r="D125" s="23" t="n"/>
      <c r="E125" s="17" t="n"/>
      <c r="F125" s="23" t="n"/>
      <c r="G125" s="23" t="n"/>
      <c r="H125" s="25">
        <f>IF(B125="","",IF(TRIM(G125&amp;"")="",1,LEN(G125)-LEN(SUBSTITUTE(G125,",",""))+2))</f>
        <v/>
      </c>
      <c r="I125" s="26">
        <f>IF(OR(B125="",E125="",H125=""),"",E125/H125)</f>
        <v/>
      </c>
    </row>
    <row r="126">
      <c r="A126" s="24" t="n"/>
      <c r="B126" s="23" t="n"/>
      <c r="C126" s="23" t="n"/>
      <c r="D126" s="23" t="n"/>
      <c r="E126" s="17" t="n"/>
      <c r="F126" s="23" t="n"/>
      <c r="G126" s="23" t="n"/>
      <c r="H126" s="25">
        <f>IF(B126="","",IF(TRIM(G126&amp;"")="",1,LEN(G126)-LEN(SUBSTITUTE(G126,",",""))+2))</f>
        <v/>
      </c>
      <c r="I126" s="26">
        <f>IF(OR(B126="",E126="",H126=""),"",E126/H126)</f>
        <v/>
      </c>
    </row>
    <row r="127">
      <c r="A127" s="24" t="n"/>
      <c r="B127" s="23" t="n"/>
      <c r="C127" s="23" t="n"/>
      <c r="D127" s="23" t="n"/>
      <c r="E127" s="17" t="n"/>
      <c r="F127" s="23" t="n"/>
      <c r="G127" s="23" t="n"/>
      <c r="H127" s="25">
        <f>IF(B127="","",IF(TRIM(G127&amp;"")="",1,LEN(G127)-LEN(SUBSTITUTE(G127,",",""))+2))</f>
        <v/>
      </c>
      <c r="I127" s="26">
        <f>IF(OR(B127="",E127="",H127=""),"",E127/H127)</f>
        <v/>
      </c>
    </row>
    <row r="128">
      <c r="A128" s="24" t="n"/>
      <c r="B128" s="23" t="n"/>
      <c r="C128" s="23" t="n"/>
      <c r="D128" s="23" t="n"/>
      <c r="E128" s="17" t="n"/>
      <c r="F128" s="23" t="n"/>
      <c r="G128" s="23" t="n"/>
      <c r="H128" s="25">
        <f>IF(B128="","",IF(TRIM(G128&amp;"")="",1,LEN(G128)-LEN(SUBSTITUTE(G128,",",""))+2))</f>
        <v/>
      </c>
      <c r="I128" s="26">
        <f>IF(OR(B128="",E128="",H128=""),"",E128/H128)</f>
        <v/>
      </c>
    </row>
    <row r="129">
      <c r="A129" s="24" t="n"/>
      <c r="B129" s="23" t="n"/>
      <c r="C129" s="23" t="n"/>
      <c r="D129" s="23" t="n"/>
      <c r="E129" s="17" t="n"/>
      <c r="F129" s="23" t="n"/>
      <c r="G129" s="23" t="n"/>
      <c r="H129" s="25">
        <f>IF(B129="","",IF(TRIM(G129&amp;"")="",1,LEN(G129)-LEN(SUBSTITUTE(G129,",",""))+2))</f>
        <v/>
      </c>
      <c r="I129" s="26">
        <f>IF(OR(B129="",E129="",H129=""),"",E129/H129)</f>
        <v/>
      </c>
    </row>
    <row r="130">
      <c r="A130" s="24" t="n"/>
      <c r="B130" s="23" t="n"/>
      <c r="C130" s="23" t="n"/>
      <c r="D130" s="23" t="n"/>
      <c r="E130" s="17" t="n"/>
      <c r="F130" s="23" t="n"/>
      <c r="G130" s="23" t="n"/>
      <c r="H130" s="25">
        <f>IF(B130="","",IF(TRIM(G130&amp;"")="",1,LEN(G130)-LEN(SUBSTITUTE(G130,",",""))+2))</f>
        <v/>
      </c>
      <c r="I130" s="26">
        <f>IF(OR(B130="",E130="",H130=""),"",E130/H130)</f>
        <v/>
      </c>
    </row>
    <row r="131">
      <c r="A131" s="24" t="n"/>
      <c r="B131" s="23" t="n"/>
      <c r="C131" s="23" t="n"/>
      <c r="D131" s="23" t="n"/>
      <c r="E131" s="17" t="n"/>
      <c r="F131" s="23" t="n"/>
      <c r="G131" s="23" t="n"/>
      <c r="H131" s="25">
        <f>IF(B131="","",IF(TRIM(G131&amp;"")="",1,LEN(G131)-LEN(SUBSTITUTE(G131,",",""))+2))</f>
        <v/>
      </c>
      <c r="I131" s="26">
        <f>IF(OR(B131="",E131="",H131=""),"",E131/H131)</f>
        <v/>
      </c>
    </row>
    <row r="132">
      <c r="A132" s="24" t="n"/>
      <c r="B132" s="23" t="n"/>
      <c r="C132" s="23" t="n"/>
      <c r="D132" s="23" t="n"/>
      <c r="E132" s="17" t="n"/>
      <c r="F132" s="23" t="n"/>
      <c r="G132" s="23" t="n"/>
      <c r="H132" s="25">
        <f>IF(B132="","",IF(TRIM(G132&amp;"")="",1,LEN(G132)-LEN(SUBSTITUTE(G132,",",""))+2))</f>
        <v/>
      </c>
      <c r="I132" s="26">
        <f>IF(OR(B132="",E132="",H132=""),"",E132/H132)</f>
        <v/>
      </c>
    </row>
    <row r="133">
      <c r="A133" s="24" t="n"/>
      <c r="B133" s="23" t="n"/>
      <c r="C133" s="23" t="n"/>
      <c r="D133" s="23" t="n"/>
      <c r="E133" s="17" t="n"/>
      <c r="F133" s="23" t="n"/>
      <c r="G133" s="23" t="n"/>
      <c r="H133" s="25">
        <f>IF(B133="","",IF(TRIM(G133&amp;"")="",1,LEN(G133)-LEN(SUBSTITUTE(G133,",",""))+2))</f>
        <v/>
      </c>
      <c r="I133" s="26">
        <f>IF(OR(B133="",E133="",H133=""),"",E133/H133)</f>
        <v/>
      </c>
    </row>
    <row r="134">
      <c r="A134" s="24" t="n"/>
      <c r="B134" s="23" t="n"/>
      <c r="C134" s="23" t="n"/>
      <c r="D134" s="23" t="n"/>
      <c r="E134" s="17" t="n"/>
      <c r="F134" s="23" t="n"/>
      <c r="G134" s="23" t="n"/>
      <c r="H134" s="25">
        <f>IF(B134="","",IF(TRIM(G134&amp;"")="",1,LEN(G134)-LEN(SUBSTITUTE(G134,",",""))+2))</f>
        <v/>
      </c>
      <c r="I134" s="26">
        <f>IF(OR(B134="",E134="",H134=""),"",E134/H134)</f>
        <v/>
      </c>
    </row>
    <row r="135">
      <c r="A135" s="24" t="n"/>
      <c r="B135" s="23" t="n"/>
      <c r="C135" s="23" t="n"/>
      <c r="D135" s="23" t="n"/>
      <c r="E135" s="17" t="n"/>
      <c r="F135" s="23" t="n"/>
      <c r="G135" s="23" t="n"/>
      <c r="H135" s="25">
        <f>IF(B135="","",IF(TRIM(G135&amp;"")="",1,LEN(G135)-LEN(SUBSTITUTE(G135,",",""))+2))</f>
        <v/>
      </c>
      <c r="I135" s="26">
        <f>IF(OR(B135="",E135="",H135=""),"",E135/H135)</f>
        <v/>
      </c>
    </row>
    <row r="136">
      <c r="A136" s="24" t="n"/>
      <c r="B136" s="23" t="n"/>
      <c r="C136" s="23" t="n"/>
      <c r="D136" s="23" t="n"/>
      <c r="E136" s="17" t="n"/>
      <c r="F136" s="23" t="n"/>
      <c r="G136" s="23" t="n"/>
      <c r="H136" s="25">
        <f>IF(B136="","",IF(TRIM(G136&amp;"")="",1,LEN(G136)-LEN(SUBSTITUTE(G136,",",""))+2))</f>
        <v/>
      </c>
      <c r="I136" s="26">
        <f>IF(OR(B136="",E136="",H136=""),"",E136/H136)</f>
        <v/>
      </c>
    </row>
    <row r="137">
      <c r="A137" s="24" t="n"/>
      <c r="B137" s="23" t="n"/>
      <c r="C137" s="23" t="n"/>
      <c r="D137" s="23" t="n"/>
      <c r="E137" s="17" t="n"/>
      <c r="F137" s="23" t="n"/>
      <c r="G137" s="23" t="n"/>
      <c r="H137" s="25">
        <f>IF(B137="","",IF(TRIM(G137&amp;"")="",1,LEN(G137)-LEN(SUBSTITUTE(G137,",",""))+2))</f>
        <v/>
      </c>
      <c r="I137" s="26">
        <f>IF(OR(B137="",E137="",H137=""),"",E137/H137)</f>
        <v/>
      </c>
    </row>
    <row r="138">
      <c r="A138" s="24" t="n"/>
      <c r="B138" s="23" t="n"/>
      <c r="C138" s="23" t="n"/>
      <c r="D138" s="23" t="n"/>
      <c r="E138" s="17" t="n"/>
      <c r="F138" s="23" t="n"/>
      <c r="G138" s="23" t="n"/>
      <c r="H138" s="25">
        <f>IF(B138="","",IF(TRIM(G138&amp;"")="",1,LEN(G138)-LEN(SUBSTITUTE(G138,",",""))+2))</f>
        <v/>
      </c>
      <c r="I138" s="26">
        <f>IF(OR(B138="",E138="",H138=""),"",E138/H138)</f>
        <v/>
      </c>
    </row>
    <row r="139">
      <c r="A139" s="24" t="n"/>
      <c r="B139" s="23" t="n"/>
      <c r="C139" s="23" t="n"/>
      <c r="D139" s="23" t="n"/>
      <c r="E139" s="17" t="n"/>
      <c r="F139" s="23" t="n"/>
      <c r="G139" s="23" t="n"/>
      <c r="H139" s="25">
        <f>IF(B139="","",IF(TRIM(G139&amp;"")="",1,LEN(G139)-LEN(SUBSTITUTE(G139,",",""))+2))</f>
        <v/>
      </c>
      <c r="I139" s="26">
        <f>IF(OR(B139="",E139="",H139=""),"",E139/H139)</f>
        <v/>
      </c>
    </row>
    <row r="140">
      <c r="A140" s="24" t="n"/>
      <c r="B140" s="23" t="n"/>
      <c r="C140" s="23" t="n"/>
      <c r="D140" s="23" t="n"/>
      <c r="E140" s="17" t="n"/>
      <c r="F140" s="23" t="n"/>
      <c r="G140" s="23" t="n"/>
      <c r="H140" s="25">
        <f>IF(B140="","",IF(TRIM(G140&amp;"")="",1,LEN(G140)-LEN(SUBSTITUTE(G140,",",""))+2))</f>
        <v/>
      </c>
      <c r="I140" s="26">
        <f>IF(OR(B140="",E140="",H140=""),"",E140/H140)</f>
        <v/>
      </c>
    </row>
    <row r="141">
      <c r="A141" s="24" t="n"/>
      <c r="B141" s="23" t="n"/>
      <c r="C141" s="23" t="n"/>
      <c r="D141" s="23" t="n"/>
      <c r="E141" s="17" t="n"/>
      <c r="F141" s="23" t="n"/>
      <c r="G141" s="23" t="n"/>
      <c r="H141" s="25">
        <f>IF(B141="","",IF(TRIM(G141&amp;"")="",1,LEN(G141)-LEN(SUBSTITUTE(G141,",",""))+2))</f>
        <v/>
      </c>
      <c r="I141" s="26">
        <f>IF(OR(B141="",E141="",H141=""),"",E141/H141)</f>
        <v/>
      </c>
    </row>
    <row r="142">
      <c r="A142" s="24" t="n"/>
      <c r="B142" s="23" t="n"/>
      <c r="C142" s="23" t="n"/>
      <c r="D142" s="23" t="n"/>
      <c r="E142" s="17" t="n"/>
      <c r="F142" s="23" t="n"/>
      <c r="G142" s="23" t="n"/>
      <c r="H142" s="25">
        <f>IF(B142="","",IF(TRIM(G142&amp;"")="",1,LEN(G142)-LEN(SUBSTITUTE(G142,",",""))+2))</f>
        <v/>
      </c>
      <c r="I142" s="26">
        <f>IF(OR(B142="",E142="",H142=""),"",E142/H142)</f>
        <v/>
      </c>
    </row>
    <row r="143">
      <c r="A143" s="24" t="n"/>
      <c r="B143" s="23" t="n"/>
      <c r="C143" s="23" t="n"/>
      <c r="D143" s="23" t="n"/>
      <c r="E143" s="17" t="n"/>
      <c r="F143" s="23" t="n"/>
      <c r="G143" s="23" t="n"/>
      <c r="H143" s="25">
        <f>IF(B143="","",IF(TRIM(G143&amp;"")="",1,LEN(G143)-LEN(SUBSTITUTE(G143,",",""))+2))</f>
        <v/>
      </c>
      <c r="I143" s="26">
        <f>IF(OR(B143="",E143="",H143=""),"",E143/H143)</f>
        <v/>
      </c>
    </row>
    <row r="144">
      <c r="A144" s="24" t="n"/>
      <c r="B144" s="23" t="n"/>
      <c r="C144" s="23" t="n"/>
      <c r="D144" s="23" t="n"/>
      <c r="E144" s="17" t="n"/>
      <c r="F144" s="23" t="n"/>
      <c r="G144" s="23" t="n"/>
      <c r="H144" s="25">
        <f>IF(B144="","",IF(TRIM(G144&amp;"")="",1,LEN(G144)-LEN(SUBSTITUTE(G144,",",""))+2))</f>
        <v/>
      </c>
      <c r="I144" s="26">
        <f>IF(OR(B144="",E144="",H144=""),"",E144/H144)</f>
        <v/>
      </c>
    </row>
    <row r="145">
      <c r="A145" s="24" t="n"/>
      <c r="B145" s="23" t="n"/>
      <c r="C145" s="23" t="n"/>
      <c r="D145" s="23" t="n"/>
      <c r="E145" s="17" t="n"/>
      <c r="F145" s="23" t="n"/>
      <c r="G145" s="23" t="n"/>
      <c r="H145" s="25">
        <f>IF(B145="","",IF(TRIM(G145&amp;"")="",1,LEN(G145)-LEN(SUBSTITUTE(G145,",",""))+2))</f>
        <v/>
      </c>
      <c r="I145" s="26">
        <f>IF(OR(B145="",E145="",H145=""),"",E145/H145)</f>
        <v/>
      </c>
    </row>
    <row r="146">
      <c r="A146" s="24" t="n"/>
      <c r="B146" s="23" t="n"/>
      <c r="C146" s="23" t="n"/>
      <c r="D146" s="23" t="n"/>
      <c r="E146" s="17" t="n"/>
      <c r="F146" s="23" t="n"/>
      <c r="G146" s="23" t="n"/>
      <c r="H146" s="25">
        <f>IF(B146="","",IF(TRIM(G146&amp;"")="",1,LEN(G146)-LEN(SUBSTITUTE(G146,",",""))+2))</f>
        <v/>
      </c>
      <c r="I146" s="26">
        <f>IF(OR(B146="",E146="",H146=""),"",E146/H146)</f>
        <v/>
      </c>
    </row>
    <row r="147">
      <c r="A147" s="24" t="n"/>
      <c r="B147" s="23" t="n"/>
      <c r="C147" s="23" t="n"/>
      <c r="D147" s="23" t="n"/>
      <c r="E147" s="17" t="n"/>
      <c r="F147" s="23" t="n"/>
      <c r="G147" s="23" t="n"/>
      <c r="H147" s="25">
        <f>IF(B147="","",IF(TRIM(G147&amp;"")="",1,LEN(G147)-LEN(SUBSTITUTE(G147,",",""))+2))</f>
        <v/>
      </c>
      <c r="I147" s="26">
        <f>IF(OR(B147="",E147="",H147=""),"",E147/H147)</f>
        <v/>
      </c>
    </row>
    <row r="148">
      <c r="A148" s="24" t="n"/>
      <c r="B148" s="23" t="n"/>
      <c r="C148" s="23" t="n"/>
      <c r="D148" s="23" t="n"/>
      <c r="E148" s="17" t="n"/>
      <c r="F148" s="23" t="n"/>
      <c r="G148" s="23" t="n"/>
      <c r="H148" s="25">
        <f>IF(B148="","",IF(TRIM(G148&amp;"")="",1,LEN(G148)-LEN(SUBSTITUTE(G148,",",""))+2))</f>
        <v/>
      </c>
      <c r="I148" s="26">
        <f>IF(OR(B148="",E148="",H148=""),"",E148/H148)</f>
        <v/>
      </c>
    </row>
    <row r="149">
      <c r="A149" s="24" t="n"/>
      <c r="B149" s="23" t="n"/>
      <c r="C149" s="23" t="n"/>
      <c r="D149" s="23" t="n"/>
      <c r="E149" s="17" t="n"/>
      <c r="F149" s="23" t="n"/>
      <c r="G149" s="23" t="n"/>
      <c r="H149" s="25">
        <f>IF(B149="","",IF(TRIM(G149&amp;"")="",1,LEN(G149)-LEN(SUBSTITUTE(G149,",",""))+2))</f>
        <v/>
      </c>
      <c r="I149" s="26">
        <f>IF(OR(B149="",E149="",H149=""),"",E149/H149)</f>
        <v/>
      </c>
    </row>
    <row r="150">
      <c r="A150" s="24" t="n"/>
      <c r="B150" s="23" t="n"/>
      <c r="C150" s="23" t="n"/>
      <c r="D150" s="23" t="n"/>
      <c r="E150" s="17" t="n"/>
      <c r="F150" s="23" t="n"/>
      <c r="G150" s="23" t="n"/>
      <c r="H150" s="25">
        <f>IF(B150="","",IF(TRIM(G150&amp;"")="",1,LEN(G150)-LEN(SUBSTITUTE(G150,",",""))+2))</f>
        <v/>
      </c>
      <c r="I150" s="26">
        <f>IF(OR(B150="",E150="",H150=""),"",E150/H150)</f>
        <v/>
      </c>
    </row>
    <row r="151">
      <c r="A151" s="24" t="n"/>
      <c r="B151" s="23" t="n"/>
      <c r="C151" s="23" t="n"/>
      <c r="D151" s="23" t="n"/>
      <c r="E151" s="17" t="n"/>
      <c r="F151" s="23" t="n"/>
      <c r="G151" s="23" t="n"/>
      <c r="H151" s="25">
        <f>IF(B151="","",IF(TRIM(G151&amp;"")="",1,LEN(G151)-LEN(SUBSTITUTE(G151,",",""))+2))</f>
        <v/>
      </c>
      <c r="I151" s="26">
        <f>IF(OR(B151="",E151="",H151=""),"",E151/H151)</f>
        <v/>
      </c>
    </row>
    <row r="152">
      <c r="A152" s="24" t="n"/>
      <c r="B152" s="23" t="n"/>
      <c r="C152" s="23" t="n"/>
      <c r="D152" s="23" t="n"/>
      <c r="E152" s="17" t="n"/>
      <c r="F152" s="23" t="n"/>
      <c r="G152" s="23" t="n"/>
      <c r="H152" s="25">
        <f>IF(B152="","",IF(TRIM(G152&amp;"")="",1,LEN(G152)-LEN(SUBSTITUTE(G152,",",""))+2))</f>
        <v/>
      </c>
      <c r="I152" s="26">
        <f>IF(OR(B152="",E152="",H152=""),"",E152/H152)</f>
        <v/>
      </c>
    </row>
    <row r="153">
      <c r="A153" s="24" t="n"/>
      <c r="B153" s="23" t="n"/>
      <c r="C153" s="23" t="n"/>
      <c r="D153" s="23" t="n"/>
      <c r="E153" s="17" t="n"/>
      <c r="F153" s="23" t="n"/>
      <c r="G153" s="23" t="n"/>
      <c r="H153" s="25">
        <f>IF(B153="","",IF(TRIM(G153&amp;"")="",1,LEN(G153)-LEN(SUBSTITUTE(G153,",",""))+2))</f>
        <v/>
      </c>
      <c r="I153" s="26">
        <f>IF(OR(B153="",E153="",H153=""),"",E153/H153)</f>
        <v/>
      </c>
    </row>
    <row r="154">
      <c r="A154" s="24" t="n"/>
      <c r="B154" s="23" t="n"/>
      <c r="C154" s="23" t="n"/>
      <c r="D154" s="23" t="n"/>
      <c r="E154" s="17" t="n"/>
      <c r="F154" s="23" t="n"/>
      <c r="G154" s="23" t="n"/>
      <c r="H154" s="25">
        <f>IF(B154="","",IF(TRIM(G154&amp;"")="",1,LEN(G154)-LEN(SUBSTITUTE(G154,",",""))+2))</f>
        <v/>
      </c>
      <c r="I154" s="26">
        <f>IF(OR(B154="",E154="",H154=""),"",E154/H154)</f>
        <v/>
      </c>
    </row>
    <row r="155">
      <c r="A155" s="24" t="n"/>
      <c r="B155" s="23" t="n"/>
      <c r="C155" s="23" t="n"/>
      <c r="D155" s="23" t="n"/>
      <c r="E155" s="17" t="n"/>
      <c r="F155" s="23" t="n"/>
      <c r="G155" s="23" t="n"/>
      <c r="H155" s="25">
        <f>IF(B155="","",IF(TRIM(G155&amp;"")="",1,LEN(G155)-LEN(SUBSTITUTE(G155,",",""))+2))</f>
        <v/>
      </c>
      <c r="I155" s="26">
        <f>IF(OR(B155="",E155="",H155=""),"",E155/H155)</f>
        <v/>
      </c>
    </row>
    <row r="156">
      <c r="A156" s="24" t="n"/>
      <c r="B156" s="23" t="n"/>
      <c r="C156" s="23" t="n"/>
      <c r="D156" s="23" t="n"/>
      <c r="E156" s="17" t="n"/>
      <c r="F156" s="23" t="n"/>
      <c r="G156" s="23" t="n"/>
      <c r="H156" s="25">
        <f>IF(B156="","",IF(TRIM(G156&amp;"")="",1,LEN(G156)-LEN(SUBSTITUTE(G156,",",""))+2))</f>
        <v/>
      </c>
      <c r="I156" s="26">
        <f>IF(OR(B156="",E156="",H156=""),"",E156/H156)</f>
        <v/>
      </c>
    </row>
    <row r="157">
      <c r="A157" s="24" t="n"/>
      <c r="B157" s="23" t="n"/>
      <c r="C157" s="23" t="n"/>
      <c r="D157" s="23" t="n"/>
      <c r="E157" s="17" t="n"/>
      <c r="F157" s="23" t="n"/>
      <c r="G157" s="23" t="n"/>
      <c r="H157" s="25">
        <f>IF(B157="","",IF(TRIM(G157&amp;"")="",1,LEN(G157)-LEN(SUBSTITUTE(G157,",",""))+2))</f>
        <v/>
      </c>
      <c r="I157" s="26">
        <f>IF(OR(B157="",E157="",H157=""),"",E157/H157)</f>
        <v/>
      </c>
    </row>
    <row r="158">
      <c r="A158" s="24" t="n"/>
      <c r="B158" s="23" t="n"/>
      <c r="C158" s="23" t="n"/>
      <c r="D158" s="23" t="n"/>
      <c r="E158" s="17" t="n"/>
      <c r="F158" s="23" t="n"/>
      <c r="G158" s="23" t="n"/>
      <c r="H158" s="25">
        <f>IF(B158="","",IF(TRIM(G158&amp;"")="",1,LEN(G158)-LEN(SUBSTITUTE(G158,",",""))+2))</f>
        <v/>
      </c>
      <c r="I158" s="26">
        <f>IF(OR(B158="",E158="",H158=""),"",E158/H158)</f>
        <v/>
      </c>
    </row>
    <row r="159">
      <c r="A159" s="24" t="n"/>
      <c r="B159" s="23" t="n"/>
      <c r="C159" s="23" t="n"/>
      <c r="D159" s="23" t="n"/>
      <c r="E159" s="17" t="n"/>
      <c r="F159" s="23" t="n"/>
      <c r="G159" s="23" t="n"/>
      <c r="H159" s="25">
        <f>IF(B159="","",IF(TRIM(G159&amp;"")="",1,LEN(G159)-LEN(SUBSTITUTE(G159,",",""))+2))</f>
        <v/>
      </c>
      <c r="I159" s="26">
        <f>IF(OR(B159="",E159="",H159=""),"",E159/H159)</f>
        <v/>
      </c>
    </row>
    <row r="160">
      <c r="A160" s="24" t="n"/>
      <c r="B160" s="23" t="n"/>
      <c r="C160" s="23" t="n"/>
      <c r="D160" s="23" t="n"/>
      <c r="E160" s="17" t="n"/>
      <c r="F160" s="23" t="n"/>
      <c r="G160" s="23" t="n"/>
      <c r="H160" s="25">
        <f>IF(B160="","",IF(TRIM(G160&amp;"")="",1,LEN(G160)-LEN(SUBSTITUTE(G160,",",""))+2))</f>
        <v/>
      </c>
      <c r="I160" s="26">
        <f>IF(OR(B160="",E160="",H160=""),"",E160/H160)</f>
        <v/>
      </c>
    </row>
    <row r="161">
      <c r="A161" s="24" t="n"/>
      <c r="B161" s="23" t="n"/>
      <c r="C161" s="23" t="n"/>
      <c r="D161" s="23" t="n"/>
      <c r="E161" s="17" t="n"/>
      <c r="F161" s="23" t="n"/>
      <c r="G161" s="23" t="n"/>
      <c r="H161" s="25">
        <f>IF(B161="","",IF(TRIM(G161&amp;"")="",1,LEN(G161)-LEN(SUBSTITUTE(G161,",",""))+2))</f>
        <v/>
      </c>
      <c r="I161" s="26">
        <f>IF(OR(B161="",E161="",H161=""),"",E161/H161)</f>
        <v/>
      </c>
    </row>
    <row r="162">
      <c r="A162" s="24" t="n"/>
      <c r="B162" s="23" t="n"/>
      <c r="C162" s="23" t="n"/>
      <c r="D162" s="23" t="n"/>
      <c r="E162" s="17" t="n"/>
      <c r="F162" s="23" t="n"/>
      <c r="G162" s="23" t="n"/>
      <c r="H162" s="25">
        <f>IF(B162="","",IF(TRIM(G162&amp;"")="",1,LEN(G162)-LEN(SUBSTITUTE(G162,",",""))+2))</f>
        <v/>
      </c>
      <c r="I162" s="26">
        <f>IF(OR(B162="",E162="",H162=""),"",E162/H162)</f>
        <v/>
      </c>
    </row>
    <row r="163">
      <c r="A163" s="24" t="n"/>
      <c r="B163" s="23" t="n"/>
      <c r="C163" s="23" t="n"/>
      <c r="D163" s="23" t="n"/>
      <c r="E163" s="17" t="n"/>
      <c r="F163" s="23" t="n"/>
      <c r="G163" s="23" t="n"/>
      <c r="H163" s="25">
        <f>IF(B163="","",IF(TRIM(G163&amp;"")="",1,LEN(G163)-LEN(SUBSTITUTE(G163,",",""))+2))</f>
        <v/>
      </c>
      <c r="I163" s="26">
        <f>IF(OR(B163="",E163="",H163=""),"",E163/H163)</f>
        <v/>
      </c>
    </row>
    <row r="164">
      <c r="A164" s="24" t="n"/>
      <c r="B164" s="23" t="n"/>
      <c r="C164" s="23" t="n"/>
      <c r="D164" s="23" t="n"/>
      <c r="E164" s="17" t="n"/>
      <c r="F164" s="23" t="n"/>
      <c r="G164" s="23" t="n"/>
      <c r="H164" s="25">
        <f>IF(B164="","",IF(TRIM(G164&amp;"")="",1,LEN(G164)-LEN(SUBSTITUTE(G164,",",""))+2))</f>
        <v/>
      </c>
      <c r="I164" s="26">
        <f>IF(OR(B164="",E164="",H164=""),"",E164/H164)</f>
        <v/>
      </c>
    </row>
    <row r="165">
      <c r="A165" s="24" t="n"/>
      <c r="B165" s="23" t="n"/>
      <c r="C165" s="23" t="n"/>
      <c r="D165" s="23" t="n"/>
      <c r="E165" s="17" t="n"/>
      <c r="F165" s="23" t="n"/>
      <c r="G165" s="23" t="n"/>
      <c r="H165" s="25">
        <f>IF(B165="","",IF(TRIM(G165&amp;"")="",1,LEN(G165)-LEN(SUBSTITUTE(G165,",",""))+2))</f>
        <v/>
      </c>
      <c r="I165" s="26">
        <f>IF(OR(B165="",E165="",H165=""),"",E165/H165)</f>
        <v/>
      </c>
    </row>
    <row r="166">
      <c r="A166" s="24" t="n"/>
      <c r="B166" s="23" t="n"/>
      <c r="C166" s="23" t="n"/>
      <c r="D166" s="23" t="n"/>
      <c r="E166" s="17" t="n"/>
      <c r="F166" s="23" t="n"/>
      <c r="G166" s="23" t="n"/>
      <c r="H166" s="25">
        <f>IF(B166="","",IF(TRIM(G166&amp;"")="",1,LEN(G166)-LEN(SUBSTITUTE(G166,",",""))+2))</f>
        <v/>
      </c>
      <c r="I166" s="26">
        <f>IF(OR(B166="",E166="",H166=""),"",E166/H166)</f>
        <v/>
      </c>
    </row>
    <row r="167">
      <c r="A167" s="24" t="n"/>
      <c r="B167" s="23" t="n"/>
      <c r="C167" s="23" t="n"/>
      <c r="D167" s="23" t="n"/>
      <c r="E167" s="17" t="n"/>
      <c r="F167" s="23" t="n"/>
      <c r="G167" s="23" t="n"/>
      <c r="H167" s="25">
        <f>IF(B167="","",IF(TRIM(G167&amp;"")="",1,LEN(G167)-LEN(SUBSTITUTE(G167,",",""))+2))</f>
        <v/>
      </c>
      <c r="I167" s="26">
        <f>IF(OR(B167="",E167="",H167=""),"",E167/H167)</f>
        <v/>
      </c>
    </row>
    <row r="168">
      <c r="A168" s="24" t="n"/>
      <c r="B168" s="23" t="n"/>
      <c r="C168" s="23" t="n"/>
      <c r="D168" s="23" t="n"/>
      <c r="E168" s="17" t="n"/>
      <c r="F168" s="23" t="n"/>
      <c r="G168" s="23" t="n"/>
      <c r="H168" s="25">
        <f>IF(B168="","",IF(TRIM(G168&amp;"")="",1,LEN(G168)-LEN(SUBSTITUTE(G168,",",""))+2))</f>
        <v/>
      </c>
      <c r="I168" s="26">
        <f>IF(OR(B168="",E168="",H168=""),"",E168/H168)</f>
        <v/>
      </c>
    </row>
    <row r="169">
      <c r="A169" s="24" t="n"/>
      <c r="B169" s="23" t="n"/>
      <c r="C169" s="23" t="n"/>
      <c r="D169" s="23" t="n"/>
      <c r="E169" s="17" t="n"/>
      <c r="F169" s="23" t="n"/>
      <c r="G169" s="23" t="n"/>
      <c r="H169" s="25">
        <f>IF(B169="","",IF(TRIM(G169&amp;"")="",1,LEN(G169)-LEN(SUBSTITUTE(G169,",",""))+2))</f>
        <v/>
      </c>
      <c r="I169" s="26">
        <f>IF(OR(B169="",E169="",H169=""),"",E169/H169)</f>
        <v/>
      </c>
    </row>
    <row r="170">
      <c r="A170" s="24" t="n"/>
      <c r="B170" s="23" t="n"/>
      <c r="C170" s="23" t="n"/>
      <c r="D170" s="23" t="n"/>
      <c r="E170" s="17" t="n"/>
      <c r="F170" s="23" t="n"/>
      <c r="G170" s="23" t="n"/>
      <c r="H170" s="25">
        <f>IF(B170="","",IF(TRIM(G170&amp;"")="",1,LEN(G170)-LEN(SUBSTITUTE(G170,",",""))+2))</f>
        <v/>
      </c>
      <c r="I170" s="26">
        <f>IF(OR(B170="",E170="",H170=""),"",E170/H170)</f>
        <v/>
      </c>
    </row>
    <row r="171">
      <c r="A171" s="24" t="n"/>
      <c r="B171" s="23" t="n"/>
      <c r="C171" s="23" t="n"/>
      <c r="D171" s="23" t="n"/>
      <c r="E171" s="17" t="n"/>
      <c r="F171" s="23" t="n"/>
      <c r="G171" s="23" t="n"/>
      <c r="H171" s="25">
        <f>IF(B171="","",IF(TRIM(G171&amp;"")="",1,LEN(G171)-LEN(SUBSTITUTE(G171,",",""))+2))</f>
        <v/>
      </c>
      <c r="I171" s="26">
        <f>IF(OR(B171="",E171="",H171=""),"",E171/H171)</f>
        <v/>
      </c>
    </row>
    <row r="172">
      <c r="A172" s="24" t="n"/>
      <c r="B172" s="23" t="n"/>
      <c r="C172" s="23" t="n"/>
      <c r="D172" s="23" t="n"/>
      <c r="E172" s="17" t="n"/>
      <c r="F172" s="23" t="n"/>
      <c r="G172" s="23" t="n"/>
      <c r="H172" s="25">
        <f>IF(B172="","",IF(TRIM(G172&amp;"")="",1,LEN(G172)-LEN(SUBSTITUTE(G172,",",""))+2))</f>
        <v/>
      </c>
      <c r="I172" s="26">
        <f>IF(OR(B172="",E172="",H172=""),"",E172/H172)</f>
        <v/>
      </c>
    </row>
    <row r="173">
      <c r="A173" s="24" t="n"/>
      <c r="B173" s="23" t="n"/>
      <c r="C173" s="23" t="n"/>
      <c r="D173" s="23" t="n"/>
      <c r="E173" s="17" t="n"/>
      <c r="F173" s="23" t="n"/>
      <c r="G173" s="23" t="n"/>
      <c r="H173" s="25">
        <f>IF(B173="","",IF(TRIM(G173&amp;"")="",1,LEN(G173)-LEN(SUBSTITUTE(G173,",",""))+2))</f>
        <v/>
      </c>
      <c r="I173" s="26">
        <f>IF(OR(B173="",E173="",H173=""),"",E173/H173)</f>
        <v/>
      </c>
    </row>
    <row r="174">
      <c r="A174" s="24" t="n"/>
      <c r="B174" s="23" t="n"/>
      <c r="C174" s="23" t="n"/>
      <c r="D174" s="23" t="n"/>
      <c r="E174" s="17" t="n"/>
      <c r="F174" s="23" t="n"/>
      <c r="G174" s="23" t="n"/>
      <c r="H174" s="25">
        <f>IF(B174="","",IF(TRIM(G174&amp;"")="",1,LEN(G174)-LEN(SUBSTITUTE(G174,",",""))+2))</f>
        <v/>
      </c>
      <c r="I174" s="26">
        <f>IF(OR(B174="",E174="",H174=""),"",E174/H174)</f>
        <v/>
      </c>
    </row>
    <row r="175">
      <c r="A175" s="24" t="n"/>
      <c r="B175" s="23" t="n"/>
      <c r="C175" s="23" t="n"/>
      <c r="D175" s="23" t="n"/>
      <c r="E175" s="17" t="n"/>
      <c r="F175" s="23" t="n"/>
      <c r="G175" s="23" t="n"/>
      <c r="H175" s="25">
        <f>IF(B175="","",IF(TRIM(G175&amp;"")="",1,LEN(G175)-LEN(SUBSTITUTE(G175,",",""))+2))</f>
        <v/>
      </c>
      <c r="I175" s="26">
        <f>IF(OR(B175="",E175="",H175=""),"",E175/H175)</f>
        <v/>
      </c>
    </row>
    <row r="176">
      <c r="A176" s="24" t="n"/>
      <c r="B176" s="23" t="n"/>
      <c r="C176" s="23" t="n"/>
      <c r="D176" s="23" t="n"/>
      <c r="E176" s="17" t="n"/>
      <c r="F176" s="23" t="n"/>
      <c r="G176" s="23" t="n"/>
      <c r="H176" s="25">
        <f>IF(B176="","",IF(TRIM(G176&amp;"")="",1,LEN(G176)-LEN(SUBSTITUTE(G176,",",""))+2))</f>
        <v/>
      </c>
      <c r="I176" s="26">
        <f>IF(OR(B176="",E176="",H176=""),"",E176/H176)</f>
        <v/>
      </c>
    </row>
    <row r="177">
      <c r="A177" s="24" t="n"/>
      <c r="B177" s="23" t="n"/>
      <c r="C177" s="23" t="n"/>
      <c r="D177" s="23" t="n"/>
      <c r="E177" s="17" t="n"/>
      <c r="F177" s="23" t="n"/>
      <c r="G177" s="23" t="n"/>
      <c r="H177" s="25">
        <f>IF(B177="","",IF(TRIM(G177&amp;"")="",1,LEN(G177)-LEN(SUBSTITUTE(G177,",",""))+2))</f>
        <v/>
      </c>
      <c r="I177" s="26">
        <f>IF(OR(B177="",E177="",H177=""),"",E177/H177)</f>
        <v/>
      </c>
    </row>
    <row r="178">
      <c r="A178" s="24" t="n"/>
      <c r="B178" s="23" t="n"/>
      <c r="C178" s="23" t="n"/>
      <c r="D178" s="23" t="n"/>
      <c r="E178" s="17" t="n"/>
      <c r="F178" s="23" t="n"/>
      <c r="G178" s="23" t="n"/>
      <c r="H178" s="25">
        <f>IF(B178="","",IF(TRIM(G178&amp;"")="",1,LEN(G178)-LEN(SUBSTITUTE(G178,",",""))+2))</f>
        <v/>
      </c>
      <c r="I178" s="26">
        <f>IF(OR(B178="",E178="",H178=""),"",E178/H178)</f>
        <v/>
      </c>
    </row>
    <row r="179">
      <c r="A179" s="24" t="n"/>
      <c r="B179" s="23" t="n"/>
      <c r="C179" s="23" t="n"/>
      <c r="D179" s="23" t="n"/>
      <c r="E179" s="17" t="n"/>
      <c r="F179" s="23" t="n"/>
      <c r="G179" s="23" t="n"/>
      <c r="H179" s="25">
        <f>IF(B179="","",IF(TRIM(G179&amp;"")="",1,LEN(G179)-LEN(SUBSTITUTE(G179,",",""))+2))</f>
        <v/>
      </c>
      <c r="I179" s="26">
        <f>IF(OR(B179="",E179="",H179=""),"",E179/H179)</f>
        <v/>
      </c>
    </row>
    <row r="180">
      <c r="A180" s="24" t="n"/>
      <c r="B180" s="23" t="n"/>
      <c r="C180" s="23" t="n"/>
      <c r="D180" s="23" t="n"/>
      <c r="E180" s="17" t="n"/>
      <c r="F180" s="23" t="n"/>
      <c r="G180" s="23" t="n"/>
      <c r="H180" s="25">
        <f>IF(B180="","",IF(TRIM(G180&amp;"")="",1,LEN(G180)-LEN(SUBSTITUTE(G180,",",""))+2))</f>
        <v/>
      </c>
      <c r="I180" s="26">
        <f>IF(OR(B180="",E180="",H180=""),"",E180/H180)</f>
        <v/>
      </c>
    </row>
    <row r="181">
      <c r="A181" s="24" t="n"/>
      <c r="B181" s="23" t="n"/>
      <c r="C181" s="23" t="n"/>
      <c r="D181" s="23" t="n"/>
      <c r="E181" s="17" t="n"/>
      <c r="F181" s="23" t="n"/>
      <c r="G181" s="23" t="n"/>
      <c r="H181" s="25">
        <f>IF(B181="","",IF(TRIM(G181&amp;"")="",1,LEN(G181)-LEN(SUBSTITUTE(G181,",",""))+2))</f>
        <v/>
      </c>
      <c r="I181" s="26">
        <f>IF(OR(B181="",E181="",H181=""),"",E181/H181)</f>
        <v/>
      </c>
    </row>
    <row r="182">
      <c r="A182" s="24" t="n"/>
      <c r="B182" s="23" t="n"/>
      <c r="C182" s="23" t="n"/>
      <c r="D182" s="23" t="n"/>
      <c r="E182" s="17" t="n"/>
      <c r="F182" s="23" t="n"/>
      <c r="G182" s="23" t="n"/>
      <c r="H182" s="25">
        <f>IF(B182="","",IF(TRIM(G182&amp;"")="",1,LEN(G182)-LEN(SUBSTITUTE(G182,",",""))+2))</f>
        <v/>
      </c>
      <c r="I182" s="26">
        <f>IF(OR(B182="",E182="",H182=""),"",E182/H182)</f>
        <v/>
      </c>
    </row>
    <row r="183">
      <c r="A183" s="24" t="n"/>
      <c r="B183" s="23" t="n"/>
      <c r="C183" s="23" t="n"/>
      <c r="D183" s="23" t="n"/>
      <c r="E183" s="17" t="n"/>
      <c r="F183" s="23" t="n"/>
      <c r="G183" s="23" t="n"/>
      <c r="H183" s="25">
        <f>IF(B183="","",IF(TRIM(G183&amp;"")="",1,LEN(G183)-LEN(SUBSTITUTE(G183,",",""))+2))</f>
        <v/>
      </c>
      <c r="I183" s="26">
        <f>IF(OR(B183="",E183="",H183=""),"",E183/H183)</f>
        <v/>
      </c>
    </row>
    <row r="184">
      <c r="A184" s="24" t="n"/>
      <c r="B184" s="23" t="n"/>
      <c r="C184" s="23" t="n"/>
      <c r="D184" s="23" t="n"/>
      <c r="E184" s="17" t="n"/>
      <c r="F184" s="23" t="n"/>
      <c r="G184" s="23" t="n"/>
      <c r="H184" s="25">
        <f>IF(B184="","",IF(TRIM(G184&amp;"")="",1,LEN(G184)-LEN(SUBSTITUTE(G184,",",""))+2))</f>
        <v/>
      </c>
      <c r="I184" s="26">
        <f>IF(OR(B184="",E184="",H184=""),"",E184/H184)</f>
        <v/>
      </c>
    </row>
    <row r="185">
      <c r="A185" s="24" t="n"/>
      <c r="B185" s="23" t="n"/>
      <c r="C185" s="23" t="n"/>
      <c r="D185" s="23" t="n"/>
      <c r="E185" s="17" t="n"/>
      <c r="F185" s="23" t="n"/>
      <c r="G185" s="23" t="n"/>
      <c r="H185" s="25">
        <f>IF(B185="","",IF(TRIM(G185&amp;"")="",1,LEN(G185)-LEN(SUBSTITUTE(G185,",",""))+2))</f>
        <v/>
      </c>
      <c r="I185" s="26">
        <f>IF(OR(B185="",E185="",H185=""),"",E185/H185)</f>
        <v/>
      </c>
    </row>
    <row r="186">
      <c r="A186" s="24" t="n"/>
      <c r="B186" s="23" t="n"/>
      <c r="C186" s="23" t="n"/>
      <c r="D186" s="23" t="n"/>
      <c r="E186" s="17" t="n"/>
      <c r="F186" s="23" t="n"/>
      <c r="G186" s="23" t="n"/>
      <c r="H186" s="25">
        <f>IF(B186="","",IF(TRIM(G186&amp;"")="",1,LEN(G186)-LEN(SUBSTITUTE(G186,",",""))+2))</f>
        <v/>
      </c>
      <c r="I186" s="26">
        <f>IF(OR(B186="",E186="",H186=""),"",E186/H186)</f>
        <v/>
      </c>
    </row>
    <row r="187">
      <c r="A187" s="24" t="n"/>
      <c r="B187" s="23" t="n"/>
      <c r="C187" s="23" t="n"/>
      <c r="D187" s="23" t="n"/>
      <c r="E187" s="17" t="n"/>
      <c r="F187" s="23" t="n"/>
      <c r="G187" s="23" t="n"/>
      <c r="H187" s="25">
        <f>IF(B187="","",IF(TRIM(G187&amp;"")="",1,LEN(G187)-LEN(SUBSTITUTE(G187,",",""))+2))</f>
        <v/>
      </c>
      <c r="I187" s="26">
        <f>IF(OR(B187="",E187="",H187=""),"",E187/H187)</f>
        <v/>
      </c>
    </row>
    <row r="188">
      <c r="A188" s="24" t="n"/>
      <c r="B188" s="23" t="n"/>
      <c r="C188" s="23" t="n"/>
      <c r="D188" s="23" t="n"/>
      <c r="E188" s="17" t="n"/>
      <c r="F188" s="23" t="n"/>
      <c r="G188" s="23" t="n"/>
      <c r="H188" s="25">
        <f>IF(B188="","",IF(TRIM(G188&amp;"")="",1,LEN(G188)-LEN(SUBSTITUTE(G188,",",""))+2))</f>
        <v/>
      </c>
      <c r="I188" s="26">
        <f>IF(OR(B188="",E188="",H188=""),"",E188/H188)</f>
        <v/>
      </c>
    </row>
    <row r="189">
      <c r="A189" s="24" t="n"/>
      <c r="B189" s="23" t="n"/>
      <c r="C189" s="23" t="n"/>
      <c r="D189" s="23" t="n"/>
      <c r="E189" s="17" t="n"/>
      <c r="F189" s="23" t="n"/>
      <c r="G189" s="23" t="n"/>
      <c r="H189" s="25">
        <f>IF(B189="","",IF(TRIM(G189&amp;"")="",1,LEN(G189)-LEN(SUBSTITUTE(G189,",",""))+2))</f>
        <v/>
      </c>
      <c r="I189" s="26">
        <f>IF(OR(B189="",E189="",H189=""),"",E189/H189)</f>
        <v/>
      </c>
    </row>
    <row r="190">
      <c r="A190" s="24" t="n"/>
      <c r="B190" s="23" t="n"/>
      <c r="C190" s="23" t="n"/>
      <c r="D190" s="23" t="n"/>
      <c r="E190" s="17" t="n"/>
      <c r="F190" s="23" t="n"/>
      <c r="G190" s="23" t="n"/>
      <c r="H190" s="25">
        <f>IF(B190="","",IF(TRIM(G190&amp;"")="",1,LEN(G190)-LEN(SUBSTITUTE(G190,",",""))+2))</f>
        <v/>
      </c>
      <c r="I190" s="26">
        <f>IF(OR(B190="",E190="",H190=""),"",E190/H190)</f>
        <v/>
      </c>
    </row>
    <row r="191">
      <c r="A191" s="24" t="n"/>
      <c r="B191" s="23" t="n"/>
      <c r="C191" s="23" t="n"/>
      <c r="D191" s="23" t="n"/>
      <c r="E191" s="17" t="n"/>
      <c r="F191" s="23" t="n"/>
      <c r="G191" s="23" t="n"/>
      <c r="H191" s="25">
        <f>IF(B191="","",IF(TRIM(G191&amp;"")="",1,LEN(G191)-LEN(SUBSTITUTE(G191,",",""))+2))</f>
        <v/>
      </c>
      <c r="I191" s="26">
        <f>IF(OR(B191="",E191="",H191=""),"",E191/H191)</f>
        <v/>
      </c>
    </row>
    <row r="192">
      <c r="A192" s="24" t="n"/>
      <c r="B192" s="23" t="n"/>
      <c r="C192" s="23" t="n"/>
      <c r="D192" s="23" t="n"/>
      <c r="E192" s="17" t="n"/>
      <c r="F192" s="23" t="n"/>
      <c r="G192" s="23" t="n"/>
      <c r="H192" s="25">
        <f>IF(B192="","",IF(TRIM(G192&amp;"")="",1,LEN(G192)-LEN(SUBSTITUTE(G192,",",""))+2))</f>
        <v/>
      </c>
      <c r="I192" s="26">
        <f>IF(OR(B192="",E192="",H192=""),"",E192/H192)</f>
        <v/>
      </c>
    </row>
    <row r="193">
      <c r="A193" s="24" t="n"/>
      <c r="B193" s="23" t="n"/>
      <c r="C193" s="23" t="n"/>
      <c r="D193" s="23" t="n"/>
      <c r="E193" s="17" t="n"/>
      <c r="F193" s="23" t="n"/>
      <c r="G193" s="23" t="n"/>
      <c r="H193" s="25">
        <f>IF(B193="","",IF(TRIM(G193&amp;"")="",1,LEN(G193)-LEN(SUBSTITUTE(G193,",",""))+2))</f>
        <v/>
      </c>
      <c r="I193" s="26">
        <f>IF(OR(B193="",E193="",H193=""),"",E193/H193)</f>
        <v/>
      </c>
    </row>
    <row r="194">
      <c r="A194" s="24" t="n"/>
      <c r="B194" s="23" t="n"/>
      <c r="C194" s="23" t="n"/>
      <c r="D194" s="23" t="n"/>
      <c r="E194" s="17" t="n"/>
      <c r="F194" s="23" t="n"/>
      <c r="G194" s="23" t="n"/>
      <c r="H194" s="25">
        <f>IF(B194="","",IF(TRIM(G194&amp;"")="",1,LEN(G194)-LEN(SUBSTITUTE(G194,",",""))+2))</f>
        <v/>
      </c>
      <c r="I194" s="26">
        <f>IF(OR(B194="",E194="",H194=""),"",E194/H194)</f>
        <v/>
      </c>
    </row>
    <row r="195">
      <c r="A195" s="24" t="n"/>
      <c r="B195" s="23" t="n"/>
      <c r="C195" s="23" t="n"/>
      <c r="D195" s="23" t="n"/>
      <c r="E195" s="17" t="n"/>
      <c r="F195" s="23" t="n"/>
      <c r="G195" s="23" t="n"/>
      <c r="H195" s="25">
        <f>IF(B195="","",IF(TRIM(G195&amp;"")="",1,LEN(G195)-LEN(SUBSTITUTE(G195,",",""))+2))</f>
        <v/>
      </c>
      <c r="I195" s="26">
        <f>IF(OR(B195="",E195="",H195=""),"",E195/H195)</f>
        <v/>
      </c>
    </row>
    <row r="196">
      <c r="A196" s="24" t="n"/>
      <c r="B196" s="23" t="n"/>
      <c r="C196" s="23" t="n"/>
      <c r="D196" s="23" t="n"/>
      <c r="E196" s="17" t="n"/>
      <c r="F196" s="23" t="n"/>
      <c r="G196" s="23" t="n"/>
      <c r="H196" s="25">
        <f>IF(B196="","",IF(TRIM(G196&amp;"")="",1,LEN(G196)-LEN(SUBSTITUTE(G196,",",""))+2))</f>
        <v/>
      </c>
      <c r="I196" s="26">
        <f>IF(OR(B196="",E196="",H196=""),"",E196/H196)</f>
        <v/>
      </c>
    </row>
    <row r="197">
      <c r="A197" s="24" t="n"/>
      <c r="B197" s="23" t="n"/>
      <c r="C197" s="23" t="n"/>
      <c r="D197" s="23" t="n"/>
      <c r="E197" s="17" t="n"/>
      <c r="F197" s="23" t="n"/>
      <c r="G197" s="23" t="n"/>
      <c r="H197" s="25">
        <f>IF(B197="","",IF(TRIM(G197&amp;"")="",1,LEN(G197)-LEN(SUBSTITUTE(G197,",",""))+2))</f>
        <v/>
      </c>
      <c r="I197" s="26">
        <f>IF(OR(B197="",E197="",H197=""),"",E197/H197)</f>
        <v/>
      </c>
    </row>
    <row r="198">
      <c r="A198" s="24" t="n"/>
      <c r="B198" s="23" t="n"/>
      <c r="C198" s="23" t="n"/>
      <c r="D198" s="23" t="n"/>
      <c r="E198" s="17" t="n"/>
      <c r="F198" s="23" t="n"/>
      <c r="G198" s="23" t="n"/>
      <c r="H198" s="25">
        <f>IF(B198="","",IF(TRIM(G198&amp;"")="",1,LEN(G198)-LEN(SUBSTITUTE(G198,",",""))+2))</f>
        <v/>
      </c>
      <c r="I198" s="26">
        <f>IF(OR(B198="",E198="",H198=""),"",E198/H198)</f>
        <v/>
      </c>
    </row>
    <row r="199">
      <c r="A199" s="24" t="n"/>
      <c r="B199" s="23" t="n"/>
      <c r="C199" s="23" t="n"/>
      <c r="D199" s="23" t="n"/>
      <c r="E199" s="17" t="n"/>
      <c r="F199" s="23" t="n"/>
      <c r="G199" s="23" t="n"/>
      <c r="H199" s="25">
        <f>IF(B199="","",IF(TRIM(G199&amp;"")="",1,LEN(G199)-LEN(SUBSTITUTE(G199,",",""))+2))</f>
        <v/>
      </c>
      <c r="I199" s="26">
        <f>IF(OR(B199="",E199="",H199=""),"",E199/H199)</f>
        <v/>
      </c>
    </row>
    <row r="200">
      <c r="A200" s="24" t="n"/>
      <c r="B200" s="23" t="n"/>
      <c r="C200" s="23" t="n"/>
      <c r="D200" s="23" t="n"/>
      <c r="E200" s="17" t="n"/>
      <c r="F200" s="23" t="n"/>
      <c r="G200" s="23" t="n"/>
      <c r="H200" s="25">
        <f>IF(B200="","",IF(TRIM(G200&amp;"")="",1,LEN(G200)-LEN(SUBSTITUTE(G200,",",""))+2))</f>
        <v/>
      </c>
      <c r="I200" s="26">
        <f>IF(OR(B200="",E200="",H200=""),"",E200/H200)</f>
        <v/>
      </c>
    </row>
    <row r="201">
      <c r="A201" s="24" t="n"/>
      <c r="B201" s="23" t="n"/>
      <c r="C201" s="23" t="n"/>
      <c r="D201" s="23" t="n"/>
      <c r="E201" s="17" t="n"/>
      <c r="F201" s="23" t="n"/>
      <c r="G201" s="23" t="n"/>
      <c r="H201" s="25">
        <f>IF(B201="","",IF(TRIM(G201&amp;"")="",1,LEN(G201)-LEN(SUBSTITUTE(G201,",",""))+2))</f>
        <v/>
      </c>
      <c r="I201" s="26">
        <f>IF(OR(B201="",E201="",H201=""),"",E201/H201)</f>
        <v/>
      </c>
    </row>
    <row r="202">
      <c r="A202" s="24" t="n"/>
      <c r="B202" s="23" t="n"/>
      <c r="C202" s="23" t="n"/>
      <c r="D202" s="23" t="n"/>
      <c r="E202" s="17" t="n"/>
      <c r="F202" s="23" t="n"/>
      <c r="G202" s="23" t="n"/>
      <c r="H202" s="25">
        <f>IF(B202="","",IF(TRIM(G202&amp;"")="",1,LEN(G202)-LEN(SUBSTITUTE(G202,",",""))+2))</f>
        <v/>
      </c>
      <c r="I202" s="26">
        <f>IF(OR(B202="",E202="",H202=""),"",E202/H202)</f>
        <v/>
      </c>
    </row>
    <row r="203">
      <c r="A203" s="24" t="n"/>
      <c r="B203" s="23" t="n"/>
      <c r="C203" s="23" t="n"/>
      <c r="D203" s="23" t="n"/>
      <c r="E203" s="17" t="n"/>
      <c r="F203" s="23" t="n"/>
      <c r="G203" s="23" t="n"/>
      <c r="H203" s="25">
        <f>IF(B203="","",IF(TRIM(G203&amp;"")="",1,LEN(G203)-LEN(SUBSTITUTE(G203,",",""))+2))</f>
        <v/>
      </c>
      <c r="I203" s="26">
        <f>IF(OR(B203="",E203="",H203=""),"",E203/H203)</f>
        <v/>
      </c>
    </row>
    <row r="204">
      <c r="A204" s="24" t="n"/>
      <c r="B204" s="23" t="n"/>
      <c r="C204" s="23" t="n"/>
      <c r="D204" s="23" t="n"/>
      <c r="E204" s="17" t="n"/>
      <c r="F204" s="23" t="n"/>
      <c r="G204" s="23" t="n"/>
      <c r="H204" s="25">
        <f>IF(B204="","",IF(TRIM(G204&amp;"")="",1,LEN(G204)-LEN(SUBSTITUTE(G204,",",""))+2))</f>
        <v/>
      </c>
      <c r="I204" s="26">
        <f>IF(OR(B204="",E204="",H204=""),"",E204/H204)</f>
        <v/>
      </c>
    </row>
    <row r="205">
      <c r="A205" s="24" t="n"/>
      <c r="B205" s="23" t="n"/>
      <c r="C205" s="23" t="n"/>
      <c r="D205" s="23" t="n"/>
      <c r="E205" s="17" t="n"/>
      <c r="F205" s="23" t="n"/>
      <c r="G205" s="23" t="n"/>
      <c r="H205" s="25">
        <f>IF(B205="","",IF(TRIM(G205&amp;"")="",1,LEN(G205)-LEN(SUBSTITUTE(G205,",",""))+2))</f>
        <v/>
      </c>
      <c r="I205" s="26">
        <f>IF(OR(B205="",E205="",H205=""),"",E205/H205)</f>
        <v/>
      </c>
    </row>
    <row r="206">
      <c r="A206" s="24" t="n"/>
      <c r="B206" s="23" t="n"/>
      <c r="C206" s="23" t="n"/>
      <c r="D206" s="23" t="n"/>
      <c r="E206" s="17" t="n"/>
      <c r="F206" s="23" t="n"/>
      <c r="G206" s="23" t="n"/>
      <c r="H206" s="25">
        <f>IF(B206="","",IF(TRIM(G206&amp;"")="",1,LEN(G206)-LEN(SUBSTITUTE(G206,",",""))+2))</f>
        <v/>
      </c>
      <c r="I206" s="26">
        <f>IF(OR(B206="",E206="",H206=""),"",E206/H206)</f>
        <v/>
      </c>
    </row>
    <row r="207">
      <c r="A207" s="24" t="n"/>
      <c r="B207" s="23" t="n"/>
      <c r="C207" s="23" t="n"/>
      <c r="D207" s="23" t="n"/>
      <c r="E207" s="17" t="n"/>
      <c r="F207" s="23" t="n"/>
      <c r="G207" s="23" t="n"/>
      <c r="H207" s="25">
        <f>IF(B207="","",IF(TRIM(G207&amp;"")="",1,LEN(G207)-LEN(SUBSTITUTE(G207,",",""))+2))</f>
        <v/>
      </c>
      <c r="I207" s="26">
        <f>IF(OR(B207="",E207="",H207=""),"",E207/H207)</f>
        <v/>
      </c>
    </row>
    <row r="208">
      <c r="A208" s="24" t="n"/>
      <c r="B208" s="23" t="n"/>
      <c r="C208" s="23" t="n"/>
      <c r="D208" s="23" t="n"/>
      <c r="E208" s="17" t="n"/>
      <c r="F208" s="23" t="n"/>
      <c r="G208" s="23" t="n"/>
      <c r="H208" s="25">
        <f>IF(B208="","",IF(TRIM(G208&amp;"")="",1,LEN(G208)-LEN(SUBSTITUTE(G208,",",""))+2))</f>
        <v/>
      </c>
      <c r="I208" s="26">
        <f>IF(OR(B208="",E208="",H208=""),"",E208/H208)</f>
        <v/>
      </c>
    </row>
    <row r="209">
      <c r="A209" s="24" t="n"/>
      <c r="B209" s="23" t="n"/>
      <c r="C209" s="23" t="n"/>
      <c r="D209" s="23" t="n"/>
      <c r="E209" s="17" t="n"/>
      <c r="F209" s="23" t="n"/>
      <c r="G209" s="23" t="n"/>
      <c r="H209" s="25">
        <f>IF(B209="","",IF(TRIM(G209&amp;"")="",1,LEN(G209)-LEN(SUBSTITUTE(G209,",",""))+2))</f>
        <v/>
      </c>
      <c r="I209" s="26">
        <f>IF(OR(B209="",E209="",H209=""),"",E209/H209)</f>
        <v/>
      </c>
    </row>
    <row r="210">
      <c r="A210" s="24" t="n"/>
      <c r="B210" s="23" t="n"/>
      <c r="C210" s="23" t="n"/>
      <c r="D210" s="23" t="n"/>
      <c r="E210" s="17" t="n"/>
      <c r="F210" s="23" t="n"/>
      <c r="G210" s="23" t="n"/>
      <c r="H210" s="25">
        <f>IF(B210="","",IF(TRIM(G210&amp;"")="",1,LEN(G210)-LEN(SUBSTITUTE(G210,",",""))+2))</f>
        <v/>
      </c>
      <c r="I210" s="26">
        <f>IF(OR(B210="",E210="",H210=""),"",E210/H210)</f>
        <v/>
      </c>
    </row>
    <row r="211">
      <c r="A211" s="24" t="n"/>
      <c r="B211" s="23" t="n"/>
      <c r="C211" s="23" t="n"/>
      <c r="D211" s="23" t="n"/>
      <c r="E211" s="17" t="n"/>
      <c r="F211" s="23" t="n"/>
      <c r="G211" s="23" t="n"/>
      <c r="H211" s="25">
        <f>IF(B211="","",IF(TRIM(G211&amp;"")="",1,LEN(G211)-LEN(SUBSTITUTE(G211,",",""))+2))</f>
        <v/>
      </c>
      <c r="I211" s="26">
        <f>IF(OR(B211="",E211="",H211=""),"",E211/H211)</f>
        <v/>
      </c>
    </row>
    <row r="212">
      <c r="A212" s="24" t="n"/>
      <c r="B212" s="23" t="n"/>
      <c r="C212" s="23" t="n"/>
      <c r="D212" s="23" t="n"/>
      <c r="E212" s="17" t="n"/>
      <c r="F212" s="23" t="n"/>
      <c r="G212" s="23" t="n"/>
      <c r="H212" s="25">
        <f>IF(B212="","",IF(TRIM(G212&amp;"")="",1,LEN(G212)-LEN(SUBSTITUTE(G212,",",""))+2))</f>
        <v/>
      </c>
      <c r="I212" s="26">
        <f>IF(OR(B212="",E212="",H212=""),"",E212/H212)</f>
        <v/>
      </c>
    </row>
    <row r="213">
      <c r="A213" s="24" t="n"/>
      <c r="B213" s="23" t="n"/>
      <c r="C213" s="23" t="n"/>
      <c r="D213" s="23" t="n"/>
      <c r="E213" s="17" t="n"/>
      <c r="F213" s="23" t="n"/>
      <c r="G213" s="23" t="n"/>
      <c r="H213" s="25">
        <f>IF(B213="","",IF(TRIM(G213&amp;"")="",1,LEN(G213)-LEN(SUBSTITUTE(G213,",",""))+2))</f>
        <v/>
      </c>
      <c r="I213" s="26">
        <f>IF(OR(B213="",E213="",H213=""),"",E213/H213)</f>
        <v/>
      </c>
    </row>
    <row r="214">
      <c r="A214" s="24" t="n"/>
      <c r="B214" s="23" t="n"/>
      <c r="C214" s="23" t="n"/>
      <c r="D214" s="23" t="n"/>
      <c r="E214" s="17" t="n"/>
      <c r="F214" s="23" t="n"/>
      <c r="G214" s="23" t="n"/>
      <c r="H214" s="25">
        <f>IF(B214="","",IF(TRIM(G214&amp;"")="",1,LEN(G214)-LEN(SUBSTITUTE(G214,",",""))+2))</f>
        <v/>
      </c>
      <c r="I214" s="26">
        <f>IF(OR(B214="",E214="",H214=""),"",E214/H214)</f>
        <v/>
      </c>
    </row>
    <row r="215">
      <c r="A215" s="24" t="n"/>
      <c r="B215" s="23" t="n"/>
      <c r="C215" s="23" t="n"/>
      <c r="D215" s="23" t="n"/>
      <c r="E215" s="17" t="n"/>
      <c r="F215" s="23" t="n"/>
      <c r="G215" s="23" t="n"/>
      <c r="H215" s="25">
        <f>IF(B215="","",IF(TRIM(G215&amp;"")="",1,LEN(G215)-LEN(SUBSTITUTE(G215,",",""))+2))</f>
        <v/>
      </c>
      <c r="I215" s="26">
        <f>IF(OR(B215="",E215="",H215=""),"",E215/H215)</f>
        <v/>
      </c>
    </row>
    <row r="216">
      <c r="A216" s="24" t="n"/>
      <c r="B216" s="23" t="n"/>
      <c r="C216" s="23" t="n"/>
      <c r="D216" s="23" t="n"/>
      <c r="E216" s="17" t="n"/>
      <c r="F216" s="23" t="n"/>
      <c r="G216" s="23" t="n"/>
      <c r="H216" s="25">
        <f>IF(B216="","",IF(TRIM(G216&amp;"")="",1,LEN(G216)-LEN(SUBSTITUTE(G216,",",""))+2))</f>
        <v/>
      </c>
      <c r="I216" s="26">
        <f>IF(OR(B216="",E216="",H216=""),"",E216/H216)</f>
        <v/>
      </c>
    </row>
    <row r="217">
      <c r="A217" s="24" t="n"/>
      <c r="B217" s="23" t="n"/>
      <c r="C217" s="23" t="n"/>
      <c r="D217" s="23" t="n"/>
      <c r="E217" s="17" t="n"/>
      <c r="F217" s="23" t="n"/>
      <c r="G217" s="23" t="n"/>
      <c r="H217" s="25">
        <f>IF(B217="","",IF(TRIM(G217&amp;"")="",1,LEN(G217)-LEN(SUBSTITUTE(G217,",",""))+2))</f>
        <v/>
      </c>
      <c r="I217" s="26">
        <f>IF(OR(B217="",E217="",H217=""),"",E217/H217)</f>
        <v/>
      </c>
    </row>
    <row r="218">
      <c r="A218" s="24" t="n"/>
      <c r="B218" s="23" t="n"/>
      <c r="C218" s="23" t="n"/>
      <c r="D218" s="23" t="n"/>
      <c r="E218" s="17" t="n"/>
      <c r="F218" s="23" t="n"/>
      <c r="G218" s="23" t="n"/>
      <c r="H218" s="25">
        <f>IF(B218="","",IF(TRIM(G218&amp;"")="",1,LEN(G218)-LEN(SUBSTITUTE(G218,",",""))+2))</f>
        <v/>
      </c>
      <c r="I218" s="26">
        <f>IF(OR(B218="",E218="",H218=""),"",E218/H218)</f>
        <v/>
      </c>
    </row>
    <row r="219">
      <c r="A219" s="24" t="n"/>
      <c r="B219" s="23" t="n"/>
      <c r="C219" s="23" t="n"/>
      <c r="D219" s="23" t="n"/>
      <c r="E219" s="17" t="n"/>
      <c r="F219" s="23" t="n"/>
      <c r="G219" s="23" t="n"/>
      <c r="H219" s="25">
        <f>IF(B219="","",IF(TRIM(G219&amp;"")="",1,LEN(G219)-LEN(SUBSTITUTE(G219,",",""))+2))</f>
        <v/>
      </c>
      <c r="I219" s="26">
        <f>IF(OR(B219="",E219="",H219=""),"",E219/H219)</f>
        <v/>
      </c>
    </row>
    <row r="220">
      <c r="A220" s="24" t="n"/>
      <c r="B220" s="23" t="n"/>
      <c r="C220" s="23" t="n"/>
      <c r="D220" s="23" t="n"/>
      <c r="E220" s="17" t="n"/>
      <c r="F220" s="23" t="n"/>
      <c r="G220" s="23" t="n"/>
      <c r="H220" s="25">
        <f>IF(B220="","",IF(TRIM(G220&amp;"")="",1,LEN(G220)-LEN(SUBSTITUTE(G220,",",""))+2))</f>
        <v/>
      </c>
      <c r="I220" s="26">
        <f>IF(OR(B220="",E220="",H220=""),"",E220/H220)</f>
        <v/>
      </c>
    </row>
    <row r="221">
      <c r="A221" s="24" t="n"/>
      <c r="B221" s="23" t="n"/>
      <c r="C221" s="23" t="n"/>
      <c r="D221" s="23" t="n"/>
      <c r="E221" s="17" t="n"/>
      <c r="F221" s="23" t="n"/>
      <c r="G221" s="23" t="n"/>
      <c r="H221" s="25">
        <f>IF(B221="","",IF(TRIM(G221&amp;"")="",1,LEN(G221)-LEN(SUBSTITUTE(G221,",",""))+2))</f>
        <v/>
      </c>
      <c r="I221" s="26">
        <f>IF(OR(B221="",E221="",H221=""),"",E221/H221)</f>
        <v/>
      </c>
    </row>
    <row r="222">
      <c r="A222" s="24" t="n"/>
      <c r="B222" s="23" t="n"/>
      <c r="C222" s="23" t="n"/>
      <c r="D222" s="23" t="n"/>
      <c r="E222" s="17" t="n"/>
      <c r="F222" s="23" t="n"/>
      <c r="G222" s="23" t="n"/>
      <c r="H222" s="25">
        <f>IF(B222="","",IF(TRIM(G222&amp;"")="",1,LEN(G222)-LEN(SUBSTITUTE(G222,",",""))+2))</f>
        <v/>
      </c>
      <c r="I222" s="26">
        <f>IF(OR(B222="",E222="",H222=""),"",E222/H222)</f>
        <v/>
      </c>
    </row>
    <row r="223">
      <c r="A223" s="24" t="n"/>
      <c r="B223" s="23" t="n"/>
      <c r="C223" s="23" t="n"/>
      <c r="D223" s="23" t="n"/>
      <c r="E223" s="17" t="n"/>
      <c r="F223" s="23" t="n"/>
      <c r="G223" s="23" t="n"/>
      <c r="H223" s="25">
        <f>IF(B223="","",IF(TRIM(G223&amp;"")="",1,LEN(G223)-LEN(SUBSTITUTE(G223,",",""))+2))</f>
        <v/>
      </c>
      <c r="I223" s="26">
        <f>IF(OR(B223="",E223="",H223=""),"",E223/H223)</f>
        <v/>
      </c>
    </row>
    <row r="224">
      <c r="A224" s="24" t="n"/>
      <c r="B224" s="23" t="n"/>
      <c r="C224" s="23" t="n"/>
      <c r="D224" s="23" t="n"/>
      <c r="E224" s="17" t="n"/>
      <c r="F224" s="23" t="n"/>
      <c r="G224" s="23" t="n"/>
      <c r="H224" s="25">
        <f>IF(B224="","",IF(TRIM(G224&amp;"")="",1,LEN(G224)-LEN(SUBSTITUTE(G224,",",""))+2))</f>
        <v/>
      </c>
      <c r="I224" s="26">
        <f>IF(OR(B224="",E224="",H224=""),"",E224/H224)</f>
        <v/>
      </c>
    </row>
    <row r="225">
      <c r="A225" s="24" t="n"/>
      <c r="B225" s="23" t="n"/>
      <c r="C225" s="23" t="n"/>
      <c r="D225" s="23" t="n"/>
      <c r="E225" s="17" t="n"/>
      <c r="F225" s="23" t="n"/>
      <c r="G225" s="23" t="n"/>
      <c r="H225" s="25">
        <f>IF(B225="","",IF(TRIM(G225&amp;"")="",1,LEN(G225)-LEN(SUBSTITUTE(G225,",",""))+2))</f>
        <v/>
      </c>
      <c r="I225" s="26">
        <f>IF(OR(B225="",E225="",H225=""),"",E225/H225)</f>
        <v/>
      </c>
    </row>
    <row r="226">
      <c r="A226" s="24" t="n"/>
      <c r="B226" s="23" t="n"/>
      <c r="C226" s="23" t="n"/>
      <c r="D226" s="23" t="n"/>
      <c r="E226" s="17" t="n"/>
      <c r="F226" s="23" t="n"/>
      <c r="G226" s="23" t="n"/>
      <c r="H226" s="25">
        <f>IF(B226="","",IF(TRIM(G226&amp;"")="",1,LEN(G226)-LEN(SUBSTITUTE(G226,",",""))+2))</f>
        <v/>
      </c>
      <c r="I226" s="26">
        <f>IF(OR(B226="",E226="",H226=""),"",E226/H226)</f>
        <v/>
      </c>
    </row>
    <row r="227">
      <c r="A227" s="24" t="n"/>
      <c r="B227" s="23" t="n"/>
      <c r="C227" s="23" t="n"/>
      <c r="D227" s="23" t="n"/>
      <c r="E227" s="17" t="n"/>
      <c r="F227" s="23" t="n"/>
      <c r="G227" s="23" t="n"/>
      <c r="H227" s="25">
        <f>IF(B227="","",IF(TRIM(G227&amp;"")="",1,LEN(G227)-LEN(SUBSTITUTE(G227,",",""))+2))</f>
        <v/>
      </c>
      <c r="I227" s="26">
        <f>IF(OR(B227="",E227="",H227=""),"",E227/H227)</f>
        <v/>
      </c>
    </row>
    <row r="228">
      <c r="A228" s="24" t="n"/>
      <c r="B228" s="23" t="n"/>
      <c r="C228" s="23" t="n"/>
      <c r="D228" s="23" t="n"/>
      <c r="E228" s="17" t="n"/>
      <c r="F228" s="23" t="n"/>
      <c r="G228" s="23" t="n"/>
      <c r="H228" s="25">
        <f>IF(B228="","",IF(TRIM(G228&amp;"")="",1,LEN(G228)-LEN(SUBSTITUTE(G228,",",""))+2))</f>
        <v/>
      </c>
      <c r="I228" s="26">
        <f>IF(OR(B228="",E228="",H228=""),"",E228/H228)</f>
        <v/>
      </c>
    </row>
    <row r="229">
      <c r="A229" s="24" t="n"/>
      <c r="B229" s="23" t="n"/>
      <c r="C229" s="23" t="n"/>
      <c r="D229" s="23" t="n"/>
      <c r="E229" s="17" t="n"/>
      <c r="F229" s="23" t="n"/>
      <c r="G229" s="23" t="n"/>
      <c r="H229" s="25">
        <f>IF(B229="","",IF(TRIM(G229&amp;"")="",1,LEN(G229)-LEN(SUBSTITUTE(G229,",",""))+2))</f>
        <v/>
      </c>
      <c r="I229" s="26">
        <f>IF(OR(B229="",E229="",H229=""),"",E229/H229)</f>
        <v/>
      </c>
    </row>
    <row r="230">
      <c r="A230" s="24" t="n"/>
      <c r="B230" s="23" t="n"/>
      <c r="C230" s="23" t="n"/>
      <c r="D230" s="23" t="n"/>
      <c r="E230" s="17" t="n"/>
      <c r="F230" s="23" t="n"/>
      <c r="G230" s="23" t="n"/>
      <c r="H230" s="25">
        <f>IF(B230="","",IF(TRIM(G230&amp;"")="",1,LEN(G230)-LEN(SUBSTITUTE(G230,",",""))+2))</f>
        <v/>
      </c>
      <c r="I230" s="26">
        <f>IF(OR(B230="",E230="",H230=""),"",E230/H230)</f>
        <v/>
      </c>
    </row>
    <row r="231">
      <c r="A231" s="24" t="n"/>
      <c r="B231" s="23" t="n"/>
      <c r="C231" s="23" t="n"/>
      <c r="D231" s="23" t="n"/>
      <c r="E231" s="17" t="n"/>
      <c r="F231" s="23" t="n"/>
      <c r="G231" s="23" t="n"/>
      <c r="H231" s="25">
        <f>IF(B231="","",IF(TRIM(G231&amp;"")="",1,LEN(G231)-LEN(SUBSTITUTE(G231,",",""))+2))</f>
        <v/>
      </c>
      <c r="I231" s="26">
        <f>IF(OR(B231="",E231="",H231=""),"",E231/H231)</f>
        <v/>
      </c>
    </row>
    <row r="232">
      <c r="A232" s="24" t="n"/>
      <c r="B232" s="23" t="n"/>
      <c r="C232" s="23" t="n"/>
      <c r="D232" s="23" t="n"/>
      <c r="E232" s="17" t="n"/>
      <c r="F232" s="23" t="n"/>
      <c r="G232" s="23" t="n"/>
      <c r="H232" s="25">
        <f>IF(B232="","",IF(TRIM(G232&amp;"")="",1,LEN(G232)-LEN(SUBSTITUTE(G232,",",""))+2))</f>
        <v/>
      </c>
      <c r="I232" s="26">
        <f>IF(OR(B232="",E232="",H232=""),"",E232/H232)</f>
        <v/>
      </c>
    </row>
    <row r="233">
      <c r="A233" s="24" t="n"/>
      <c r="B233" s="23" t="n"/>
      <c r="C233" s="23" t="n"/>
      <c r="D233" s="23" t="n"/>
      <c r="E233" s="17" t="n"/>
      <c r="F233" s="23" t="n"/>
      <c r="G233" s="23" t="n"/>
      <c r="H233" s="25">
        <f>IF(B233="","",IF(TRIM(G233&amp;"")="",1,LEN(G233)-LEN(SUBSTITUTE(G233,",",""))+2))</f>
        <v/>
      </c>
      <c r="I233" s="26">
        <f>IF(OR(B233="",E233="",H233=""),"",E233/H233)</f>
        <v/>
      </c>
    </row>
    <row r="234">
      <c r="A234" s="24" t="n"/>
      <c r="B234" s="23" t="n"/>
      <c r="C234" s="23" t="n"/>
      <c r="D234" s="23" t="n"/>
      <c r="E234" s="17" t="n"/>
      <c r="F234" s="23" t="n"/>
      <c r="G234" s="23" t="n"/>
      <c r="H234" s="25">
        <f>IF(B234="","",IF(TRIM(G234&amp;"")="",1,LEN(G234)-LEN(SUBSTITUTE(G234,",",""))+2))</f>
        <v/>
      </c>
      <c r="I234" s="26">
        <f>IF(OR(B234="",E234="",H234=""),"",E234/H234)</f>
        <v/>
      </c>
    </row>
    <row r="235">
      <c r="A235" s="24" t="n"/>
      <c r="B235" s="23" t="n"/>
      <c r="C235" s="23" t="n"/>
      <c r="D235" s="23" t="n"/>
      <c r="E235" s="17" t="n"/>
      <c r="F235" s="23" t="n"/>
      <c r="G235" s="23" t="n"/>
      <c r="H235" s="25">
        <f>IF(B235="","",IF(TRIM(G235&amp;"")="",1,LEN(G235)-LEN(SUBSTITUTE(G235,",",""))+2))</f>
        <v/>
      </c>
      <c r="I235" s="26">
        <f>IF(OR(B235="",E235="",H235=""),"",E235/H235)</f>
        <v/>
      </c>
    </row>
    <row r="236">
      <c r="A236" s="24" t="n"/>
      <c r="B236" s="23" t="n"/>
      <c r="C236" s="23" t="n"/>
      <c r="D236" s="23" t="n"/>
      <c r="E236" s="17" t="n"/>
      <c r="F236" s="23" t="n"/>
      <c r="G236" s="23" t="n"/>
      <c r="H236" s="25">
        <f>IF(B236="","",IF(TRIM(G236&amp;"")="",1,LEN(G236)-LEN(SUBSTITUTE(G236,",",""))+2))</f>
        <v/>
      </c>
      <c r="I236" s="26">
        <f>IF(OR(B236="",E236="",H236=""),"",E236/H236)</f>
        <v/>
      </c>
    </row>
    <row r="237">
      <c r="A237" s="24" t="n"/>
      <c r="B237" s="23" t="n"/>
      <c r="C237" s="23" t="n"/>
      <c r="D237" s="23" t="n"/>
      <c r="E237" s="17" t="n"/>
      <c r="F237" s="23" t="n"/>
      <c r="G237" s="23" t="n"/>
      <c r="H237" s="25">
        <f>IF(B237="","",IF(TRIM(G237&amp;"")="",1,LEN(G237)-LEN(SUBSTITUTE(G237,",",""))+2))</f>
        <v/>
      </c>
      <c r="I237" s="26">
        <f>IF(OR(B237="",E237="",H237=""),"",E237/H237)</f>
        <v/>
      </c>
    </row>
    <row r="238">
      <c r="A238" s="24" t="n"/>
      <c r="B238" s="23" t="n"/>
      <c r="C238" s="23" t="n"/>
      <c r="D238" s="23" t="n"/>
      <c r="E238" s="17" t="n"/>
      <c r="F238" s="23" t="n"/>
      <c r="G238" s="23" t="n"/>
      <c r="H238" s="25">
        <f>IF(B238="","",IF(TRIM(G238&amp;"")="",1,LEN(G238)-LEN(SUBSTITUTE(G238,",",""))+2))</f>
        <v/>
      </c>
      <c r="I238" s="26">
        <f>IF(OR(B238="",E238="",H238=""),"",E238/H238)</f>
        <v/>
      </c>
    </row>
    <row r="239">
      <c r="A239" s="24" t="n"/>
      <c r="B239" s="23" t="n"/>
      <c r="C239" s="23" t="n"/>
      <c r="D239" s="23" t="n"/>
      <c r="E239" s="17" t="n"/>
      <c r="F239" s="23" t="n"/>
      <c r="G239" s="23" t="n"/>
      <c r="H239" s="25">
        <f>IF(B239="","",IF(TRIM(G239&amp;"")="",1,LEN(G239)-LEN(SUBSTITUTE(G239,",",""))+2))</f>
        <v/>
      </c>
      <c r="I239" s="26">
        <f>IF(OR(B239="",E239="",H239=""),"",E239/H239)</f>
        <v/>
      </c>
    </row>
    <row r="240">
      <c r="A240" s="24" t="n"/>
      <c r="B240" s="23" t="n"/>
      <c r="C240" s="23" t="n"/>
      <c r="D240" s="23" t="n"/>
      <c r="E240" s="17" t="n"/>
      <c r="F240" s="23" t="n"/>
      <c r="G240" s="23" t="n"/>
      <c r="H240" s="25">
        <f>IF(B240="","",IF(TRIM(G240&amp;"")="",1,LEN(G240)-LEN(SUBSTITUTE(G240,",",""))+2))</f>
        <v/>
      </c>
      <c r="I240" s="26">
        <f>IF(OR(B240="",E240="",H240=""),"",E240/H240)</f>
        <v/>
      </c>
    </row>
    <row r="241">
      <c r="A241" s="24" t="n"/>
      <c r="B241" s="23" t="n"/>
      <c r="C241" s="23" t="n"/>
      <c r="D241" s="23" t="n"/>
      <c r="E241" s="17" t="n"/>
      <c r="F241" s="23" t="n"/>
      <c r="G241" s="23" t="n"/>
      <c r="H241" s="25">
        <f>IF(B241="","",IF(TRIM(G241&amp;"")="",1,LEN(G241)-LEN(SUBSTITUTE(G241,",",""))+2))</f>
        <v/>
      </c>
      <c r="I241" s="26">
        <f>IF(OR(B241="",E241="",H241=""),"",E241/H241)</f>
        <v/>
      </c>
    </row>
    <row r="242">
      <c r="A242" s="24" t="n"/>
      <c r="B242" s="23" t="n"/>
      <c r="C242" s="23" t="n"/>
      <c r="D242" s="23" t="n"/>
      <c r="E242" s="17" t="n"/>
      <c r="F242" s="23" t="n"/>
      <c r="G242" s="23" t="n"/>
      <c r="H242" s="25">
        <f>IF(B242="","",IF(TRIM(G242&amp;"")="",1,LEN(G242)-LEN(SUBSTITUTE(G242,",",""))+2))</f>
        <v/>
      </c>
      <c r="I242" s="26">
        <f>IF(OR(B242="",E242="",H242=""),"",E242/H242)</f>
        <v/>
      </c>
    </row>
    <row r="243">
      <c r="A243" s="24" t="n"/>
      <c r="B243" s="23" t="n"/>
      <c r="C243" s="23" t="n"/>
      <c r="D243" s="23" t="n"/>
      <c r="E243" s="17" t="n"/>
      <c r="F243" s="23" t="n"/>
      <c r="G243" s="23" t="n"/>
      <c r="H243" s="25">
        <f>IF(B243="","",IF(TRIM(G243&amp;"")="",1,LEN(G243)-LEN(SUBSTITUTE(G243,",",""))+2))</f>
        <v/>
      </c>
      <c r="I243" s="26">
        <f>IF(OR(B243="",E243="",H243=""),"",E243/H243)</f>
        <v/>
      </c>
    </row>
    <row r="244">
      <c r="A244" s="24" t="n"/>
      <c r="B244" s="23" t="n"/>
      <c r="C244" s="23" t="n"/>
      <c r="D244" s="23" t="n"/>
      <c r="E244" s="17" t="n"/>
      <c r="F244" s="23" t="n"/>
      <c r="G244" s="23" t="n"/>
      <c r="H244" s="25">
        <f>IF(B244="","",IF(TRIM(G244&amp;"")="",1,LEN(G244)-LEN(SUBSTITUTE(G244,",",""))+2))</f>
        <v/>
      </c>
      <c r="I244" s="26">
        <f>IF(OR(B244="",E244="",H244=""),"",E244/H244)</f>
        <v/>
      </c>
    </row>
    <row r="245">
      <c r="A245" s="24" t="n"/>
      <c r="B245" s="23" t="n"/>
      <c r="C245" s="23" t="n"/>
      <c r="D245" s="23" t="n"/>
      <c r="E245" s="17" t="n"/>
      <c r="F245" s="23" t="n"/>
      <c r="G245" s="23" t="n"/>
      <c r="H245" s="25">
        <f>IF(B245="","",IF(TRIM(G245&amp;"")="",1,LEN(G245)-LEN(SUBSTITUTE(G245,",",""))+2))</f>
        <v/>
      </c>
      <c r="I245" s="26">
        <f>IF(OR(B245="",E245="",H245=""),"",E245/H245)</f>
        <v/>
      </c>
    </row>
    <row r="246">
      <c r="A246" s="24" t="n"/>
      <c r="B246" s="23" t="n"/>
      <c r="C246" s="23" t="n"/>
      <c r="D246" s="23" t="n"/>
      <c r="E246" s="17" t="n"/>
      <c r="F246" s="23" t="n"/>
      <c r="G246" s="23" t="n"/>
      <c r="H246" s="25">
        <f>IF(B246="","",IF(TRIM(G246&amp;"")="",1,LEN(G246)-LEN(SUBSTITUTE(G246,",",""))+2))</f>
        <v/>
      </c>
      <c r="I246" s="26">
        <f>IF(OR(B246="",E246="",H246=""),"",E246/H246)</f>
        <v/>
      </c>
    </row>
    <row r="247">
      <c r="A247" s="24" t="n"/>
      <c r="B247" s="23" t="n"/>
      <c r="C247" s="23" t="n"/>
      <c r="D247" s="23" t="n"/>
      <c r="E247" s="17" t="n"/>
      <c r="F247" s="23" t="n"/>
      <c r="G247" s="23" t="n"/>
      <c r="H247" s="25">
        <f>IF(B247="","",IF(TRIM(G247&amp;"")="",1,LEN(G247)-LEN(SUBSTITUTE(G247,",",""))+2))</f>
        <v/>
      </c>
      <c r="I247" s="26">
        <f>IF(OR(B247="",E247="",H247=""),"",E247/H247)</f>
        <v/>
      </c>
    </row>
    <row r="248">
      <c r="A248" s="24" t="n"/>
      <c r="B248" s="23" t="n"/>
      <c r="C248" s="23" t="n"/>
      <c r="D248" s="23" t="n"/>
      <c r="E248" s="17" t="n"/>
      <c r="F248" s="23" t="n"/>
      <c r="G248" s="23" t="n"/>
      <c r="H248" s="25">
        <f>IF(B248="","",IF(TRIM(G248&amp;"")="",1,LEN(G248)-LEN(SUBSTITUTE(G248,",",""))+2))</f>
        <v/>
      </c>
      <c r="I248" s="26">
        <f>IF(OR(B248="",E248="",H248=""),"",E248/H248)</f>
        <v/>
      </c>
    </row>
    <row r="249">
      <c r="A249" s="24" t="n"/>
      <c r="B249" s="23" t="n"/>
      <c r="C249" s="23" t="n"/>
      <c r="D249" s="23" t="n"/>
      <c r="E249" s="17" t="n"/>
      <c r="F249" s="23" t="n"/>
      <c r="G249" s="23" t="n"/>
      <c r="H249" s="25">
        <f>IF(B249="","",IF(TRIM(G249&amp;"")="",1,LEN(G249)-LEN(SUBSTITUTE(G249,",",""))+2))</f>
        <v/>
      </c>
      <c r="I249" s="26">
        <f>IF(OR(B249="",E249="",H249=""),"",E249/H249)</f>
        <v/>
      </c>
    </row>
    <row r="250">
      <c r="A250" s="24" t="n"/>
      <c r="B250" s="23" t="n"/>
      <c r="C250" s="23" t="n"/>
      <c r="D250" s="23" t="n"/>
      <c r="E250" s="17" t="n"/>
      <c r="F250" s="23" t="n"/>
      <c r="G250" s="23" t="n"/>
      <c r="H250" s="25">
        <f>IF(B250="","",IF(TRIM(G250&amp;"")="",1,LEN(G250)-LEN(SUBSTITUTE(G250,",",""))+2))</f>
        <v/>
      </c>
      <c r="I250" s="26">
        <f>IF(OR(B250="",E250="",H250=""),"",E250/H250)</f>
        <v/>
      </c>
    </row>
    <row r="251">
      <c r="A251" s="24" t="n"/>
      <c r="B251" s="23" t="n"/>
      <c r="C251" s="23" t="n"/>
      <c r="D251" s="23" t="n"/>
      <c r="E251" s="17" t="n"/>
      <c r="F251" s="23" t="n"/>
      <c r="G251" s="23" t="n"/>
      <c r="H251" s="25">
        <f>IF(B251="","",IF(TRIM(G251&amp;"")="",1,LEN(G251)-LEN(SUBSTITUTE(G251,",",""))+2))</f>
        <v/>
      </c>
      <c r="I251" s="26">
        <f>IF(OR(B251="",E251="",H251=""),"",E251/H251)</f>
        <v/>
      </c>
    </row>
    <row r="252">
      <c r="A252" s="24" t="n"/>
      <c r="B252" s="23" t="n"/>
      <c r="C252" s="23" t="n"/>
      <c r="D252" s="23" t="n"/>
      <c r="E252" s="17" t="n"/>
      <c r="F252" s="23" t="n"/>
      <c r="G252" s="23" t="n"/>
      <c r="H252" s="25">
        <f>IF(B252="","",IF(TRIM(G252&amp;"")="",1,LEN(G252)-LEN(SUBSTITUTE(G252,",",""))+2))</f>
        <v/>
      </c>
      <c r="I252" s="26">
        <f>IF(OR(B252="",E252="",H252=""),"",E252/H252)</f>
        <v/>
      </c>
    </row>
    <row r="253">
      <c r="A253" s="24" t="n"/>
      <c r="B253" s="23" t="n"/>
      <c r="C253" s="23" t="n"/>
      <c r="D253" s="23" t="n"/>
      <c r="E253" s="17" t="n"/>
      <c r="F253" s="23" t="n"/>
      <c r="G253" s="23" t="n"/>
      <c r="H253" s="25">
        <f>IF(B253="","",IF(TRIM(G253&amp;"")="",1,LEN(G253)-LEN(SUBSTITUTE(G253,",",""))+2))</f>
        <v/>
      </c>
      <c r="I253" s="26">
        <f>IF(OR(B253="",E253="",H253=""),"",E253/H253)</f>
        <v/>
      </c>
    </row>
    <row r="254">
      <c r="A254" s="24" t="n"/>
      <c r="B254" s="23" t="n"/>
      <c r="C254" s="23" t="n"/>
      <c r="D254" s="23" t="n"/>
      <c r="E254" s="17" t="n"/>
      <c r="F254" s="23" t="n"/>
      <c r="G254" s="23" t="n"/>
      <c r="H254" s="25">
        <f>IF(B254="","",IF(TRIM(G254&amp;"")="",1,LEN(G254)-LEN(SUBSTITUTE(G254,",",""))+2))</f>
        <v/>
      </c>
      <c r="I254" s="26">
        <f>IF(OR(B254="",E254="",H254=""),"",E254/H254)</f>
        <v/>
      </c>
    </row>
    <row r="255">
      <c r="A255" s="24" t="n"/>
      <c r="B255" s="23" t="n"/>
      <c r="C255" s="23" t="n"/>
      <c r="D255" s="23" t="n"/>
      <c r="E255" s="17" t="n"/>
      <c r="F255" s="23" t="n"/>
      <c r="G255" s="23" t="n"/>
      <c r="H255" s="25">
        <f>IF(B255="","",IF(TRIM(G255&amp;"")="",1,LEN(G255)-LEN(SUBSTITUTE(G255,",",""))+2))</f>
        <v/>
      </c>
      <c r="I255" s="26">
        <f>IF(OR(B255="",E255="",H255=""),"",E255/H255)</f>
        <v/>
      </c>
    </row>
    <row r="256">
      <c r="A256" s="24" t="n"/>
      <c r="B256" s="23" t="n"/>
      <c r="C256" s="23" t="n"/>
      <c r="D256" s="23" t="n"/>
      <c r="E256" s="17" t="n"/>
      <c r="F256" s="23" t="n"/>
      <c r="G256" s="23" t="n"/>
      <c r="H256" s="25">
        <f>IF(B256="","",IF(TRIM(G256&amp;"")="",1,LEN(G256)-LEN(SUBSTITUTE(G256,",",""))+2))</f>
        <v/>
      </c>
      <c r="I256" s="26">
        <f>IF(OR(B256="",E256="",H256=""),"",E256/H256)</f>
        <v/>
      </c>
    </row>
    <row r="257">
      <c r="A257" s="24" t="n"/>
      <c r="B257" s="23" t="n"/>
      <c r="C257" s="23" t="n"/>
      <c r="D257" s="23" t="n"/>
      <c r="E257" s="17" t="n"/>
      <c r="F257" s="23" t="n"/>
      <c r="G257" s="23" t="n"/>
      <c r="H257" s="25">
        <f>IF(B257="","",IF(TRIM(G257&amp;"")="",1,LEN(G257)-LEN(SUBSTITUTE(G257,",",""))+2))</f>
        <v/>
      </c>
      <c r="I257" s="26">
        <f>IF(OR(B257="",E257="",H257=""),"",E257/H257)</f>
        <v/>
      </c>
    </row>
    <row r="258">
      <c r="A258" s="24" t="n"/>
      <c r="B258" s="23" t="n"/>
      <c r="C258" s="23" t="n"/>
      <c r="D258" s="23" t="n"/>
      <c r="E258" s="17" t="n"/>
      <c r="F258" s="23" t="n"/>
      <c r="G258" s="23" t="n"/>
      <c r="H258" s="25">
        <f>IF(B258="","",IF(TRIM(G258&amp;"")="",1,LEN(G258)-LEN(SUBSTITUTE(G258,",",""))+2))</f>
        <v/>
      </c>
      <c r="I258" s="26">
        <f>IF(OR(B258="",E258="",H258=""),"",E258/H258)</f>
        <v/>
      </c>
    </row>
    <row r="259">
      <c r="A259" s="24" t="n"/>
      <c r="B259" s="23" t="n"/>
      <c r="C259" s="23" t="n"/>
      <c r="D259" s="23" t="n"/>
      <c r="E259" s="17" t="n"/>
      <c r="F259" s="23" t="n"/>
      <c r="G259" s="23" t="n"/>
      <c r="H259" s="25">
        <f>IF(B259="","",IF(TRIM(G259&amp;"")="",1,LEN(G259)-LEN(SUBSTITUTE(G259,",",""))+2))</f>
        <v/>
      </c>
      <c r="I259" s="26">
        <f>IF(OR(B259="",E259="",H259=""),"",E259/H259)</f>
        <v/>
      </c>
    </row>
    <row r="260">
      <c r="A260" s="24" t="n"/>
      <c r="B260" s="23" t="n"/>
      <c r="C260" s="23" t="n"/>
      <c r="D260" s="23" t="n"/>
      <c r="E260" s="17" t="n"/>
      <c r="F260" s="23" t="n"/>
      <c r="G260" s="23" t="n"/>
      <c r="H260" s="25">
        <f>IF(B260="","",IF(TRIM(G260&amp;"")="",1,LEN(G260)-LEN(SUBSTITUTE(G260,",",""))+2))</f>
        <v/>
      </c>
      <c r="I260" s="26">
        <f>IF(OR(B260="",E260="",H260=""),"",E260/H260)</f>
        <v/>
      </c>
    </row>
    <row r="261">
      <c r="A261" s="24" t="n"/>
      <c r="B261" s="23" t="n"/>
      <c r="C261" s="23" t="n"/>
      <c r="D261" s="23" t="n"/>
      <c r="E261" s="17" t="n"/>
      <c r="F261" s="23" t="n"/>
      <c r="G261" s="23" t="n"/>
      <c r="H261" s="25">
        <f>IF(B261="","",IF(TRIM(G261&amp;"")="",1,LEN(G261)-LEN(SUBSTITUTE(G261,",",""))+2))</f>
        <v/>
      </c>
      <c r="I261" s="26">
        <f>IF(OR(B261="",E261="",H261=""),"",E261/H261)</f>
        <v/>
      </c>
    </row>
    <row r="262">
      <c r="A262" s="24" t="n"/>
      <c r="B262" s="23" t="n"/>
      <c r="C262" s="23" t="n"/>
      <c r="D262" s="23" t="n"/>
      <c r="E262" s="17" t="n"/>
      <c r="F262" s="23" t="n"/>
      <c r="G262" s="23" t="n"/>
      <c r="H262" s="25">
        <f>IF(B262="","",IF(TRIM(G262&amp;"")="",1,LEN(G262)-LEN(SUBSTITUTE(G262,",",""))+2))</f>
        <v/>
      </c>
      <c r="I262" s="26">
        <f>IF(OR(B262="",E262="",H262=""),"",E262/H262)</f>
        <v/>
      </c>
    </row>
    <row r="263">
      <c r="A263" s="24" t="n"/>
      <c r="B263" s="23" t="n"/>
      <c r="C263" s="23" t="n"/>
      <c r="D263" s="23" t="n"/>
      <c r="E263" s="17" t="n"/>
      <c r="F263" s="23" t="n"/>
      <c r="G263" s="23" t="n"/>
      <c r="H263" s="25">
        <f>IF(B263="","",IF(TRIM(G263&amp;"")="",1,LEN(G263)-LEN(SUBSTITUTE(G263,",",""))+2))</f>
        <v/>
      </c>
      <c r="I263" s="26">
        <f>IF(OR(B263="",E263="",H263=""),"",E263/H263)</f>
        <v/>
      </c>
    </row>
    <row r="264">
      <c r="A264" s="24" t="n"/>
      <c r="B264" s="23" t="n"/>
      <c r="C264" s="23" t="n"/>
      <c r="D264" s="23" t="n"/>
      <c r="E264" s="17" t="n"/>
      <c r="F264" s="23" t="n"/>
      <c r="G264" s="23" t="n"/>
      <c r="H264" s="25">
        <f>IF(B264="","",IF(TRIM(G264&amp;"")="",1,LEN(G264)-LEN(SUBSTITUTE(G264,",",""))+2))</f>
        <v/>
      </c>
      <c r="I264" s="26">
        <f>IF(OR(B264="",E264="",H264=""),"",E264/H264)</f>
        <v/>
      </c>
    </row>
    <row r="265">
      <c r="A265" s="24" t="n"/>
      <c r="B265" s="23" t="n"/>
      <c r="C265" s="23" t="n"/>
      <c r="D265" s="23" t="n"/>
      <c r="E265" s="17" t="n"/>
      <c r="F265" s="23" t="n"/>
      <c r="G265" s="23" t="n"/>
      <c r="H265" s="25">
        <f>IF(B265="","",IF(TRIM(G265&amp;"")="",1,LEN(G265)-LEN(SUBSTITUTE(G265,",",""))+2))</f>
        <v/>
      </c>
      <c r="I265" s="26">
        <f>IF(OR(B265="",E265="",H265=""),"",E265/H265)</f>
        <v/>
      </c>
    </row>
    <row r="266">
      <c r="A266" s="24" t="n"/>
      <c r="B266" s="23" t="n"/>
      <c r="C266" s="23" t="n"/>
      <c r="D266" s="23" t="n"/>
      <c r="E266" s="17" t="n"/>
      <c r="F266" s="23" t="n"/>
      <c r="G266" s="23" t="n"/>
      <c r="H266" s="25">
        <f>IF(B266="","",IF(TRIM(G266&amp;"")="",1,LEN(G266)-LEN(SUBSTITUTE(G266,",",""))+2))</f>
        <v/>
      </c>
      <c r="I266" s="26">
        <f>IF(OR(B266="",E266="",H266=""),"",E266/H266)</f>
        <v/>
      </c>
    </row>
    <row r="267">
      <c r="A267" s="24" t="n"/>
      <c r="B267" s="23" t="n"/>
      <c r="C267" s="23" t="n"/>
      <c r="D267" s="23" t="n"/>
      <c r="E267" s="17" t="n"/>
      <c r="F267" s="23" t="n"/>
      <c r="G267" s="23" t="n"/>
      <c r="H267" s="25">
        <f>IF(B267="","",IF(TRIM(G267&amp;"")="",1,LEN(G267)-LEN(SUBSTITUTE(G267,",",""))+2))</f>
        <v/>
      </c>
      <c r="I267" s="26">
        <f>IF(OR(B267="",E267="",H267=""),"",E267/H267)</f>
        <v/>
      </c>
    </row>
    <row r="268">
      <c r="A268" s="24" t="n"/>
      <c r="B268" s="23" t="n"/>
      <c r="C268" s="23" t="n"/>
      <c r="D268" s="23" t="n"/>
      <c r="E268" s="17" t="n"/>
      <c r="F268" s="23" t="n"/>
      <c r="G268" s="23" t="n"/>
      <c r="H268" s="25">
        <f>IF(B268="","",IF(TRIM(G268&amp;"")="",1,LEN(G268)-LEN(SUBSTITUTE(G268,",",""))+2))</f>
        <v/>
      </c>
      <c r="I268" s="26">
        <f>IF(OR(B268="",E268="",H268=""),"",E268/H268)</f>
        <v/>
      </c>
    </row>
    <row r="269">
      <c r="A269" s="24" t="n"/>
      <c r="B269" s="23" t="n"/>
      <c r="C269" s="23" t="n"/>
      <c r="D269" s="23" t="n"/>
      <c r="E269" s="17" t="n"/>
      <c r="F269" s="23" t="n"/>
      <c r="G269" s="23" t="n"/>
      <c r="H269" s="25">
        <f>IF(B269="","",IF(TRIM(G269&amp;"")="",1,LEN(G269)-LEN(SUBSTITUTE(G269,",",""))+2))</f>
        <v/>
      </c>
      <c r="I269" s="26">
        <f>IF(OR(B269="",E269="",H269=""),"",E269/H269)</f>
        <v/>
      </c>
    </row>
    <row r="270">
      <c r="A270" s="24" t="n"/>
      <c r="B270" s="23" t="n"/>
      <c r="C270" s="23" t="n"/>
      <c r="D270" s="23" t="n"/>
      <c r="E270" s="17" t="n"/>
      <c r="F270" s="23" t="n"/>
      <c r="G270" s="23" t="n"/>
      <c r="H270" s="25">
        <f>IF(B270="","",IF(TRIM(G270&amp;"")="",1,LEN(G270)-LEN(SUBSTITUTE(G270,",",""))+2))</f>
        <v/>
      </c>
      <c r="I270" s="26">
        <f>IF(OR(B270="",E270="",H270=""),"",E270/H270)</f>
        <v/>
      </c>
    </row>
    <row r="271">
      <c r="A271" s="24" t="n"/>
      <c r="B271" s="23" t="n"/>
      <c r="C271" s="23" t="n"/>
      <c r="D271" s="23" t="n"/>
      <c r="E271" s="17" t="n"/>
      <c r="F271" s="23" t="n"/>
      <c r="G271" s="23" t="n"/>
      <c r="H271" s="25">
        <f>IF(B271="","",IF(TRIM(G271&amp;"")="",1,LEN(G271)-LEN(SUBSTITUTE(G271,",",""))+2))</f>
        <v/>
      </c>
      <c r="I271" s="26">
        <f>IF(OR(B271="",E271="",H271=""),"",E271/H271)</f>
        <v/>
      </c>
    </row>
    <row r="272">
      <c r="A272" s="24" t="n"/>
      <c r="B272" s="23" t="n"/>
      <c r="C272" s="23" t="n"/>
      <c r="D272" s="23" t="n"/>
      <c r="E272" s="17" t="n"/>
      <c r="F272" s="23" t="n"/>
      <c r="G272" s="23" t="n"/>
      <c r="H272" s="25">
        <f>IF(B272="","",IF(TRIM(G272&amp;"")="",1,LEN(G272)-LEN(SUBSTITUTE(G272,",",""))+2))</f>
        <v/>
      </c>
      <c r="I272" s="26">
        <f>IF(OR(B272="",E272="",H272=""),"",E272/H272)</f>
        <v/>
      </c>
    </row>
    <row r="273">
      <c r="A273" s="24" t="n"/>
      <c r="B273" s="23" t="n"/>
      <c r="C273" s="23" t="n"/>
      <c r="D273" s="23" t="n"/>
      <c r="E273" s="17" t="n"/>
      <c r="F273" s="23" t="n"/>
      <c r="G273" s="23" t="n"/>
      <c r="H273" s="25">
        <f>IF(B273="","",IF(TRIM(G273&amp;"")="",1,LEN(G273)-LEN(SUBSTITUTE(G273,",",""))+2))</f>
        <v/>
      </c>
      <c r="I273" s="26">
        <f>IF(OR(B273="",E273="",H273=""),"",E273/H273)</f>
        <v/>
      </c>
    </row>
    <row r="274">
      <c r="A274" s="24" t="n"/>
      <c r="B274" s="23" t="n"/>
      <c r="C274" s="23" t="n"/>
      <c r="D274" s="23" t="n"/>
      <c r="E274" s="17" t="n"/>
      <c r="F274" s="23" t="n"/>
      <c r="G274" s="23" t="n"/>
      <c r="H274" s="25">
        <f>IF(B274="","",IF(TRIM(G274&amp;"")="",1,LEN(G274)-LEN(SUBSTITUTE(G274,",",""))+2))</f>
        <v/>
      </c>
      <c r="I274" s="26">
        <f>IF(OR(B274="",E274="",H274=""),"",E274/H274)</f>
        <v/>
      </c>
    </row>
    <row r="275">
      <c r="A275" s="24" t="n"/>
      <c r="B275" s="23" t="n"/>
      <c r="C275" s="23" t="n"/>
      <c r="D275" s="23" t="n"/>
      <c r="E275" s="17" t="n"/>
      <c r="F275" s="23" t="n"/>
      <c r="G275" s="23" t="n"/>
      <c r="H275" s="25">
        <f>IF(B275="","",IF(TRIM(G275&amp;"")="",1,LEN(G275)-LEN(SUBSTITUTE(G275,",",""))+2))</f>
        <v/>
      </c>
      <c r="I275" s="26">
        <f>IF(OR(B275="",E275="",H275=""),"",E275/H275)</f>
        <v/>
      </c>
    </row>
    <row r="276">
      <c r="A276" s="24" t="n"/>
      <c r="B276" s="23" t="n"/>
      <c r="C276" s="23" t="n"/>
      <c r="D276" s="23" t="n"/>
      <c r="E276" s="17" t="n"/>
      <c r="F276" s="23" t="n"/>
      <c r="G276" s="23" t="n"/>
      <c r="H276" s="25">
        <f>IF(B276="","",IF(TRIM(G276&amp;"")="",1,LEN(G276)-LEN(SUBSTITUTE(G276,",",""))+2))</f>
        <v/>
      </c>
      <c r="I276" s="26">
        <f>IF(OR(B276="",E276="",H276=""),"",E276/H276)</f>
        <v/>
      </c>
    </row>
    <row r="277">
      <c r="A277" s="24" t="n"/>
      <c r="B277" s="23" t="n"/>
      <c r="C277" s="23" t="n"/>
      <c r="D277" s="23" t="n"/>
      <c r="E277" s="17" t="n"/>
      <c r="F277" s="23" t="n"/>
      <c r="G277" s="23" t="n"/>
      <c r="H277" s="25">
        <f>IF(B277="","",IF(TRIM(G277&amp;"")="",1,LEN(G277)-LEN(SUBSTITUTE(G277,",",""))+2))</f>
        <v/>
      </c>
      <c r="I277" s="26">
        <f>IF(OR(B277="",E277="",H277=""),"",E277/H277)</f>
        <v/>
      </c>
    </row>
    <row r="278">
      <c r="A278" s="24" t="n"/>
      <c r="B278" s="23" t="n"/>
      <c r="C278" s="23" t="n"/>
      <c r="D278" s="23" t="n"/>
      <c r="E278" s="17" t="n"/>
      <c r="F278" s="23" t="n"/>
      <c r="G278" s="23" t="n"/>
      <c r="H278" s="25">
        <f>IF(B278="","",IF(TRIM(G278&amp;"")="",1,LEN(G278)-LEN(SUBSTITUTE(G278,",",""))+2))</f>
        <v/>
      </c>
      <c r="I278" s="26">
        <f>IF(OR(B278="",E278="",H278=""),"",E278/H278)</f>
        <v/>
      </c>
    </row>
    <row r="279">
      <c r="A279" s="24" t="n"/>
      <c r="B279" s="23" t="n"/>
      <c r="C279" s="23" t="n"/>
      <c r="D279" s="23" t="n"/>
      <c r="E279" s="17" t="n"/>
      <c r="F279" s="23" t="n"/>
      <c r="G279" s="23" t="n"/>
      <c r="H279" s="25">
        <f>IF(B279="","",IF(TRIM(G279&amp;"")="",1,LEN(G279)-LEN(SUBSTITUTE(G279,",",""))+2))</f>
        <v/>
      </c>
      <c r="I279" s="26">
        <f>IF(OR(B279="",E279="",H279=""),"",E279/H279)</f>
        <v/>
      </c>
    </row>
    <row r="280">
      <c r="A280" s="24" t="n"/>
      <c r="B280" s="23" t="n"/>
      <c r="C280" s="23" t="n"/>
      <c r="D280" s="23" t="n"/>
      <c r="E280" s="17" t="n"/>
      <c r="F280" s="23" t="n"/>
      <c r="G280" s="23" t="n"/>
      <c r="H280" s="25">
        <f>IF(B280="","",IF(TRIM(G280&amp;"")="",1,LEN(G280)-LEN(SUBSTITUTE(G280,",",""))+2))</f>
        <v/>
      </c>
      <c r="I280" s="26">
        <f>IF(OR(B280="",E280="",H280=""),"",E280/H280)</f>
        <v/>
      </c>
    </row>
    <row r="281">
      <c r="A281" s="24" t="n"/>
      <c r="B281" s="23" t="n"/>
      <c r="C281" s="23" t="n"/>
      <c r="D281" s="23" t="n"/>
      <c r="E281" s="17" t="n"/>
      <c r="F281" s="23" t="n"/>
      <c r="G281" s="23" t="n"/>
      <c r="H281" s="25">
        <f>IF(B281="","",IF(TRIM(G281&amp;"")="",1,LEN(G281)-LEN(SUBSTITUTE(G281,",",""))+2))</f>
        <v/>
      </c>
      <c r="I281" s="26">
        <f>IF(OR(B281="",E281="",H281=""),"",E281/H281)</f>
        <v/>
      </c>
    </row>
    <row r="282">
      <c r="A282" s="24" t="n"/>
      <c r="B282" s="23" t="n"/>
      <c r="C282" s="23" t="n"/>
      <c r="D282" s="23" t="n"/>
      <c r="E282" s="17" t="n"/>
      <c r="F282" s="23" t="n"/>
      <c r="G282" s="23" t="n"/>
      <c r="H282" s="25">
        <f>IF(B282="","",IF(TRIM(G282&amp;"")="",1,LEN(G282)-LEN(SUBSTITUTE(G282,",",""))+2))</f>
        <v/>
      </c>
      <c r="I282" s="26">
        <f>IF(OR(B282="",E282="",H282=""),"",E282/H282)</f>
        <v/>
      </c>
    </row>
    <row r="283">
      <c r="A283" s="24" t="n"/>
      <c r="B283" s="23" t="n"/>
      <c r="C283" s="23" t="n"/>
      <c r="D283" s="23" t="n"/>
      <c r="E283" s="17" t="n"/>
      <c r="F283" s="23" t="n"/>
      <c r="G283" s="23" t="n"/>
      <c r="H283" s="25">
        <f>IF(B283="","",IF(TRIM(G283&amp;"")="",1,LEN(G283)-LEN(SUBSTITUTE(G283,",",""))+2))</f>
        <v/>
      </c>
      <c r="I283" s="26">
        <f>IF(OR(B283="",E283="",H283=""),"",E283/H283)</f>
        <v/>
      </c>
    </row>
    <row r="284">
      <c r="A284" s="24" t="n"/>
      <c r="B284" s="23" t="n"/>
      <c r="C284" s="23" t="n"/>
      <c r="D284" s="23" t="n"/>
      <c r="E284" s="17" t="n"/>
      <c r="F284" s="23" t="n"/>
      <c r="G284" s="23" t="n"/>
      <c r="H284" s="25">
        <f>IF(B284="","",IF(TRIM(G284&amp;"")="",1,LEN(G284)-LEN(SUBSTITUTE(G284,",",""))+2))</f>
        <v/>
      </c>
      <c r="I284" s="26">
        <f>IF(OR(B284="",E284="",H284=""),"",E284/H284)</f>
        <v/>
      </c>
    </row>
    <row r="285">
      <c r="A285" s="24" t="n"/>
      <c r="B285" s="23" t="n"/>
      <c r="C285" s="23" t="n"/>
      <c r="D285" s="23" t="n"/>
      <c r="E285" s="17" t="n"/>
      <c r="F285" s="23" t="n"/>
      <c r="G285" s="23" t="n"/>
      <c r="H285" s="25">
        <f>IF(B285="","",IF(TRIM(G285&amp;"")="",1,LEN(G285)-LEN(SUBSTITUTE(G285,",",""))+2))</f>
        <v/>
      </c>
      <c r="I285" s="26">
        <f>IF(OR(B285="",E285="",H285=""),"",E285/H285)</f>
        <v/>
      </c>
    </row>
    <row r="286">
      <c r="A286" s="24" t="n"/>
      <c r="B286" s="23" t="n"/>
      <c r="C286" s="23" t="n"/>
      <c r="D286" s="23" t="n"/>
      <c r="E286" s="17" t="n"/>
      <c r="F286" s="23" t="n"/>
      <c r="G286" s="23" t="n"/>
      <c r="H286" s="25">
        <f>IF(B286="","",IF(TRIM(G286&amp;"")="",1,LEN(G286)-LEN(SUBSTITUTE(G286,",",""))+2))</f>
        <v/>
      </c>
      <c r="I286" s="26">
        <f>IF(OR(B286="",E286="",H286=""),"",E286/H286)</f>
        <v/>
      </c>
    </row>
    <row r="287">
      <c r="A287" s="24" t="n"/>
      <c r="B287" s="23" t="n"/>
      <c r="C287" s="23" t="n"/>
      <c r="D287" s="23" t="n"/>
      <c r="E287" s="17" t="n"/>
      <c r="F287" s="23" t="n"/>
      <c r="G287" s="23" t="n"/>
      <c r="H287" s="25">
        <f>IF(B287="","",IF(TRIM(G287&amp;"")="",1,LEN(G287)-LEN(SUBSTITUTE(G287,",",""))+2))</f>
        <v/>
      </c>
      <c r="I287" s="26">
        <f>IF(OR(B287="",E287="",H287=""),"",E287/H287)</f>
        <v/>
      </c>
    </row>
    <row r="288">
      <c r="A288" s="24" t="n"/>
      <c r="B288" s="23" t="n"/>
      <c r="C288" s="23" t="n"/>
      <c r="D288" s="23" t="n"/>
      <c r="E288" s="17" t="n"/>
      <c r="F288" s="23" t="n"/>
      <c r="G288" s="23" t="n"/>
      <c r="H288" s="25">
        <f>IF(B288="","",IF(TRIM(G288&amp;"")="",1,LEN(G288)-LEN(SUBSTITUTE(G288,",",""))+2))</f>
        <v/>
      </c>
      <c r="I288" s="26">
        <f>IF(OR(B288="",E288="",H288=""),"",E288/H288)</f>
        <v/>
      </c>
    </row>
    <row r="289">
      <c r="A289" s="24" t="n"/>
      <c r="B289" s="23" t="n"/>
      <c r="C289" s="23" t="n"/>
      <c r="D289" s="23" t="n"/>
      <c r="E289" s="17" t="n"/>
      <c r="F289" s="23" t="n"/>
      <c r="G289" s="23" t="n"/>
      <c r="H289" s="25">
        <f>IF(B289="","",IF(TRIM(G289&amp;"")="",1,LEN(G289)-LEN(SUBSTITUTE(G289,",",""))+2))</f>
        <v/>
      </c>
      <c r="I289" s="26">
        <f>IF(OR(B289="",E289="",H289=""),"",E289/H289)</f>
        <v/>
      </c>
    </row>
    <row r="290">
      <c r="A290" s="24" t="n"/>
      <c r="B290" s="23" t="n"/>
      <c r="C290" s="23" t="n"/>
      <c r="D290" s="23" t="n"/>
      <c r="E290" s="17" t="n"/>
      <c r="F290" s="23" t="n"/>
      <c r="G290" s="23" t="n"/>
      <c r="H290" s="25">
        <f>IF(B290="","",IF(TRIM(G290&amp;"")="",1,LEN(G290)-LEN(SUBSTITUTE(G290,",",""))+2))</f>
        <v/>
      </c>
      <c r="I290" s="26">
        <f>IF(OR(B290="",E290="",H290=""),"",E290/H290)</f>
        <v/>
      </c>
    </row>
    <row r="291">
      <c r="A291" s="24" t="n"/>
      <c r="B291" s="23" t="n"/>
      <c r="C291" s="23" t="n"/>
      <c r="D291" s="23" t="n"/>
      <c r="E291" s="17" t="n"/>
      <c r="F291" s="23" t="n"/>
      <c r="G291" s="23" t="n"/>
      <c r="H291" s="25">
        <f>IF(B291="","",IF(TRIM(G291&amp;"")="",1,LEN(G291)-LEN(SUBSTITUTE(G291,",",""))+2))</f>
        <v/>
      </c>
      <c r="I291" s="26">
        <f>IF(OR(B291="",E291="",H291=""),"",E291/H291)</f>
        <v/>
      </c>
    </row>
    <row r="292">
      <c r="A292" s="24" t="n"/>
      <c r="B292" s="23" t="n"/>
      <c r="C292" s="23" t="n"/>
      <c r="D292" s="23" t="n"/>
      <c r="E292" s="17" t="n"/>
      <c r="F292" s="23" t="n"/>
      <c r="G292" s="23" t="n"/>
      <c r="H292" s="25">
        <f>IF(B292="","",IF(TRIM(G292&amp;"")="",1,LEN(G292)-LEN(SUBSTITUTE(G292,",",""))+2))</f>
        <v/>
      </c>
      <c r="I292" s="26">
        <f>IF(OR(B292="",E292="",H292=""),"",E292/H292)</f>
        <v/>
      </c>
    </row>
    <row r="293">
      <c r="A293" s="24" t="n"/>
      <c r="B293" s="23" t="n"/>
      <c r="C293" s="23" t="n"/>
      <c r="D293" s="23" t="n"/>
      <c r="E293" s="17" t="n"/>
      <c r="F293" s="23" t="n"/>
      <c r="G293" s="23" t="n"/>
      <c r="H293" s="25">
        <f>IF(B293="","",IF(TRIM(G293&amp;"")="",1,LEN(G293)-LEN(SUBSTITUTE(G293,",",""))+2))</f>
        <v/>
      </c>
      <c r="I293" s="26">
        <f>IF(OR(B293="",E293="",H293=""),"",E293/H293)</f>
        <v/>
      </c>
    </row>
    <row r="294">
      <c r="A294" s="24" t="n"/>
      <c r="B294" s="23" t="n"/>
      <c r="C294" s="23" t="n"/>
      <c r="D294" s="23" t="n"/>
      <c r="E294" s="17" t="n"/>
      <c r="F294" s="23" t="n"/>
      <c r="G294" s="23" t="n"/>
      <c r="H294" s="25">
        <f>IF(B294="","",IF(TRIM(G294&amp;"")="",1,LEN(G294)-LEN(SUBSTITUTE(G294,",",""))+2))</f>
        <v/>
      </c>
      <c r="I294" s="26">
        <f>IF(OR(B294="",E294="",H294=""),"",E294/H294)</f>
        <v/>
      </c>
    </row>
    <row r="295">
      <c r="A295" s="24" t="n"/>
      <c r="B295" s="23" t="n"/>
      <c r="C295" s="23" t="n"/>
      <c r="D295" s="23" t="n"/>
      <c r="E295" s="17" t="n"/>
      <c r="F295" s="23" t="n"/>
      <c r="G295" s="23" t="n"/>
      <c r="H295" s="25">
        <f>IF(B295="","",IF(TRIM(G295&amp;"")="",1,LEN(G295)-LEN(SUBSTITUTE(G295,",",""))+2))</f>
        <v/>
      </c>
      <c r="I295" s="26">
        <f>IF(OR(B295="",E295="",H295=""),"",E295/H295)</f>
        <v/>
      </c>
    </row>
    <row r="296">
      <c r="A296" s="24" t="n"/>
      <c r="B296" s="23" t="n"/>
      <c r="C296" s="23" t="n"/>
      <c r="D296" s="23" t="n"/>
      <c r="E296" s="17" t="n"/>
      <c r="F296" s="23" t="n"/>
      <c r="G296" s="23" t="n"/>
      <c r="H296" s="25">
        <f>IF(B296="","",IF(TRIM(G296&amp;"")="",1,LEN(G296)-LEN(SUBSTITUTE(G296,",",""))+2))</f>
        <v/>
      </c>
      <c r="I296" s="26">
        <f>IF(OR(B296="",E296="",H296=""),"",E296/H296)</f>
        <v/>
      </c>
    </row>
    <row r="297">
      <c r="A297" s="24" t="n"/>
      <c r="B297" s="23" t="n"/>
      <c r="C297" s="23" t="n"/>
      <c r="D297" s="23" t="n"/>
      <c r="E297" s="17" t="n"/>
      <c r="F297" s="23" t="n"/>
      <c r="G297" s="23" t="n"/>
      <c r="H297" s="25">
        <f>IF(B297="","",IF(TRIM(G297&amp;"")="",1,LEN(G297)-LEN(SUBSTITUTE(G297,",",""))+2))</f>
        <v/>
      </c>
      <c r="I297" s="26">
        <f>IF(OR(B297="",E297="",H297=""),"",E297/H297)</f>
        <v/>
      </c>
    </row>
    <row r="298">
      <c r="A298" s="24" t="n"/>
      <c r="B298" s="23" t="n"/>
      <c r="C298" s="23" t="n"/>
      <c r="D298" s="23" t="n"/>
      <c r="E298" s="17" t="n"/>
      <c r="F298" s="23" t="n"/>
      <c r="G298" s="23" t="n"/>
      <c r="H298" s="25">
        <f>IF(B298="","",IF(TRIM(G298&amp;"")="",1,LEN(G298)-LEN(SUBSTITUTE(G298,",",""))+2))</f>
        <v/>
      </c>
      <c r="I298" s="26">
        <f>IF(OR(B298="",E298="",H298=""),"",E298/H298)</f>
        <v/>
      </c>
    </row>
    <row r="299">
      <c r="A299" s="24" t="n"/>
      <c r="B299" s="23" t="n"/>
      <c r="C299" s="23" t="n"/>
      <c r="D299" s="23" t="n"/>
      <c r="E299" s="17" t="n"/>
      <c r="F299" s="23" t="n"/>
      <c r="G299" s="23" t="n"/>
      <c r="H299" s="25">
        <f>IF(B299="","",IF(TRIM(G299&amp;"")="",1,LEN(G299)-LEN(SUBSTITUTE(G299,",",""))+2))</f>
        <v/>
      </c>
      <c r="I299" s="26">
        <f>IF(OR(B299="",E299="",H299=""),"",E299/H299)</f>
        <v/>
      </c>
    </row>
    <row r="300">
      <c r="A300" s="24" t="n"/>
      <c r="B300" s="23" t="n"/>
      <c r="C300" s="23" t="n"/>
      <c r="D300" s="23" t="n"/>
      <c r="E300" s="17" t="n"/>
      <c r="F300" s="23" t="n"/>
      <c r="G300" s="23" t="n"/>
      <c r="H300" s="25">
        <f>IF(B300="","",IF(TRIM(G300&amp;"")="",1,LEN(G300)-LEN(SUBSTITUTE(G300,",",""))+2))</f>
        <v/>
      </c>
      <c r="I300" s="26">
        <f>IF(OR(B300="",E300="",H300=""),"",E300/H300)</f>
        <v/>
      </c>
    </row>
    <row r="301">
      <c r="A301" s="24" t="n"/>
      <c r="B301" s="23" t="n"/>
      <c r="C301" s="23" t="n"/>
      <c r="D301" s="23" t="n"/>
      <c r="E301" s="17" t="n"/>
      <c r="F301" s="23" t="n"/>
      <c r="G301" s="23" t="n"/>
      <c r="H301" s="25">
        <f>IF(B301="","",IF(TRIM(G301&amp;"")="",1,LEN(G301)-LEN(SUBSTITUTE(G301,",",""))+2))</f>
        <v/>
      </c>
      <c r="I301" s="26">
        <f>IF(OR(B301="",E301="",H301=""),"",E301/H301)</f>
        <v/>
      </c>
    </row>
    <row r="302">
      <c r="A302" s="24" t="n"/>
      <c r="B302" s="23" t="n"/>
      <c r="C302" s="23" t="n"/>
      <c r="D302" s="23" t="n"/>
      <c r="E302" s="17" t="n"/>
      <c r="F302" s="23" t="n"/>
      <c r="G302" s="23" t="n"/>
      <c r="H302" s="25">
        <f>IF(B302="","",IF(TRIM(G302&amp;"")="",1,LEN(G302)-LEN(SUBSTITUTE(G302,",",""))+2))</f>
        <v/>
      </c>
      <c r="I302" s="26">
        <f>IF(OR(B302="",E302="",H302=""),"",E302/H302)</f>
        <v/>
      </c>
    </row>
    <row r="303">
      <c r="A303" s="24" t="n"/>
      <c r="B303" s="23" t="n"/>
      <c r="C303" s="23" t="n"/>
      <c r="D303" s="23" t="n"/>
      <c r="E303" s="17" t="n"/>
      <c r="F303" s="23" t="n"/>
      <c r="G303" s="23" t="n"/>
      <c r="H303" s="25">
        <f>IF(B303="","",IF(TRIM(G303&amp;"")="",1,LEN(G303)-LEN(SUBSTITUTE(G303,",",""))+2))</f>
        <v/>
      </c>
      <c r="I303" s="26">
        <f>IF(OR(B303="",E303="",H303=""),"",E303/H303)</f>
        <v/>
      </c>
    </row>
    <row r="304">
      <c r="A304" s="24" t="n"/>
      <c r="B304" s="23" t="n"/>
      <c r="C304" s="23" t="n"/>
      <c r="D304" s="23" t="n"/>
      <c r="E304" s="17" t="n"/>
      <c r="F304" s="23" t="n"/>
      <c r="G304" s="23" t="n"/>
      <c r="H304" s="25">
        <f>IF(B304="","",IF(TRIM(G304&amp;"")="",1,LEN(G304)-LEN(SUBSTITUTE(G304,",",""))+2))</f>
        <v/>
      </c>
      <c r="I304" s="26">
        <f>IF(OR(B304="",E304="",H304=""),"",E304/H304)</f>
        <v/>
      </c>
    </row>
    <row r="305">
      <c r="A305" s="24" t="n"/>
      <c r="B305" s="23" t="n"/>
      <c r="C305" s="23" t="n"/>
      <c r="D305" s="23" t="n"/>
      <c r="E305" s="17" t="n"/>
      <c r="F305" s="23" t="n"/>
      <c r="G305" s="23" t="n"/>
      <c r="H305" s="25">
        <f>IF(B305="","",IF(TRIM(G305&amp;"")="",1,LEN(G305)-LEN(SUBSTITUTE(G305,",",""))+2))</f>
        <v/>
      </c>
      <c r="I305" s="26">
        <f>IF(OR(B305="",E305="",H305=""),"",E305/H305)</f>
        <v/>
      </c>
    </row>
    <row r="306">
      <c r="A306" s="24" t="n"/>
      <c r="B306" s="23" t="n"/>
      <c r="C306" s="23" t="n"/>
      <c r="D306" s="23" t="n"/>
      <c r="E306" s="17" t="n"/>
      <c r="F306" s="23" t="n"/>
      <c r="G306" s="23" t="n"/>
      <c r="H306" s="25">
        <f>IF(B306="","",IF(TRIM(G306&amp;"")="",1,LEN(G306)-LEN(SUBSTITUTE(G306,",",""))+2))</f>
        <v/>
      </c>
      <c r="I306" s="26">
        <f>IF(OR(B306="",E306="",H306=""),"",E306/H306)</f>
        <v/>
      </c>
    </row>
    <row r="307">
      <c r="A307" s="24" t="n"/>
      <c r="B307" s="23" t="n"/>
      <c r="C307" s="23" t="n"/>
      <c r="D307" s="23" t="n"/>
      <c r="E307" s="17" t="n"/>
      <c r="F307" s="23" t="n"/>
      <c r="G307" s="23" t="n"/>
      <c r="H307" s="25">
        <f>IF(B307="","",IF(TRIM(G307&amp;"")="",1,LEN(G307)-LEN(SUBSTITUTE(G307,",",""))+2))</f>
        <v/>
      </c>
      <c r="I307" s="26">
        <f>IF(OR(B307="",E307="",H307=""),"",E307/H307)</f>
        <v/>
      </c>
    </row>
    <row r="308">
      <c r="A308" s="24" t="n"/>
      <c r="B308" s="23" t="n"/>
      <c r="C308" s="23" t="n"/>
      <c r="D308" s="23" t="n"/>
      <c r="E308" s="17" t="n"/>
      <c r="F308" s="23" t="n"/>
      <c r="G308" s="23" t="n"/>
      <c r="H308" s="25">
        <f>IF(B308="","",IF(TRIM(G308&amp;"")="",1,LEN(G308)-LEN(SUBSTITUTE(G308,",",""))+2))</f>
        <v/>
      </c>
      <c r="I308" s="26">
        <f>IF(OR(B308="",E308="",H308=""),"",E308/H308)</f>
        <v/>
      </c>
    </row>
    <row r="309">
      <c r="A309" s="24" t="n"/>
      <c r="B309" s="23" t="n"/>
      <c r="C309" s="23" t="n"/>
      <c r="D309" s="23" t="n"/>
      <c r="E309" s="17" t="n"/>
      <c r="F309" s="23" t="n"/>
      <c r="G309" s="23" t="n"/>
      <c r="H309" s="25">
        <f>IF(B309="","",IF(TRIM(G309&amp;"")="",1,LEN(G309)-LEN(SUBSTITUTE(G309,",",""))+2))</f>
        <v/>
      </c>
      <c r="I309" s="26">
        <f>IF(OR(B309="",E309="",H309=""),"",E309/H309)</f>
        <v/>
      </c>
    </row>
    <row r="310">
      <c r="A310" s="24" t="n"/>
      <c r="B310" s="23" t="n"/>
      <c r="C310" s="23" t="n"/>
      <c r="D310" s="23" t="n"/>
      <c r="E310" s="17" t="n"/>
      <c r="F310" s="23" t="n"/>
      <c r="G310" s="23" t="n"/>
      <c r="H310" s="25">
        <f>IF(B310="","",IF(TRIM(G310&amp;"")="",1,LEN(G310)-LEN(SUBSTITUTE(G310,",",""))+2))</f>
        <v/>
      </c>
      <c r="I310" s="26">
        <f>IF(OR(B310="",E310="",H310=""),"",E310/H310)</f>
        <v/>
      </c>
    </row>
    <row r="311">
      <c r="A311" s="24" t="n"/>
      <c r="B311" s="23" t="n"/>
      <c r="C311" s="23" t="n"/>
      <c r="D311" s="23" t="n"/>
      <c r="E311" s="17" t="n"/>
      <c r="F311" s="23" t="n"/>
      <c r="G311" s="23" t="n"/>
      <c r="H311" s="25">
        <f>IF(B311="","",IF(TRIM(G311&amp;"")="",1,LEN(G311)-LEN(SUBSTITUTE(G311,",",""))+2))</f>
        <v/>
      </c>
      <c r="I311" s="26">
        <f>IF(OR(B311="",E311="",H311=""),"",E311/H311)</f>
        <v/>
      </c>
    </row>
    <row r="312">
      <c r="A312" s="24" t="n"/>
      <c r="B312" s="23" t="n"/>
      <c r="C312" s="23" t="n"/>
      <c r="D312" s="23" t="n"/>
      <c r="E312" s="17" t="n"/>
      <c r="F312" s="23" t="n"/>
      <c r="G312" s="23" t="n"/>
      <c r="H312" s="25">
        <f>IF(B312="","",IF(TRIM(G312&amp;"")="",1,LEN(G312)-LEN(SUBSTITUTE(G312,",",""))+2))</f>
        <v/>
      </c>
      <c r="I312" s="26">
        <f>IF(OR(B312="",E312="",H312=""),"",E312/H312)</f>
        <v/>
      </c>
    </row>
    <row r="313">
      <c r="A313" s="24" t="n"/>
      <c r="B313" s="23" t="n"/>
      <c r="C313" s="23" t="n"/>
      <c r="D313" s="23" t="n"/>
      <c r="E313" s="17" t="n"/>
      <c r="F313" s="23" t="n"/>
      <c r="G313" s="23" t="n"/>
      <c r="H313" s="25">
        <f>IF(B313="","",IF(TRIM(G313&amp;"")="",1,LEN(G313)-LEN(SUBSTITUTE(G313,",",""))+2))</f>
        <v/>
      </c>
      <c r="I313" s="26">
        <f>IF(OR(B313="",E313="",H313=""),"",E313/H313)</f>
        <v/>
      </c>
    </row>
    <row r="314">
      <c r="A314" s="24" t="n"/>
      <c r="B314" s="23" t="n"/>
      <c r="C314" s="23" t="n"/>
      <c r="D314" s="23" t="n"/>
      <c r="E314" s="17" t="n"/>
      <c r="F314" s="23" t="n"/>
      <c r="G314" s="23" t="n"/>
      <c r="H314" s="25">
        <f>IF(B314="","",IF(TRIM(G314&amp;"")="",1,LEN(G314)-LEN(SUBSTITUTE(G314,",",""))+2))</f>
        <v/>
      </c>
      <c r="I314" s="26">
        <f>IF(OR(B314="",E314="",H314=""),"",E314/H314)</f>
        <v/>
      </c>
    </row>
    <row r="315">
      <c r="A315" s="24" t="n"/>
      <c r="B315" s="23" t="n"/>
      <c r="C315" s="23" t="n"/>
      <c r="D315" s="23" t="n"/>
      <c r="E315" s="17" t="n"/>
      <c r="F315" s="23" t="n"/>
      <c r="G315" s="23" t="n"/>
      <c r="H315" s="25">
        <f>IF(B315="","",IF(TRIM(G315&amp;"")="",1,LEN(G315)-LEN(SUBSTITUTE(G315,",",""))+2))</f>
        <v/>
      </c>
      <c r="I315" s="26">
        <f>IF(OR(B315="",E315="",H315=""),"",E315/H315)</f>
        <v/>
      </c>
    </row>
    <row r="316">
      <c r="A316" s="24" t="n"/>
      <c r="B316" s="23" t="n"/>
      <c r="C316" s="23" t="n"/>
      <c r="D316" s="23" t="n"/>
      <c r="E316" s="17" t="n"/>
      <c r="F316" s="23" t="n"/>
      <c r="G316" s="23" t="n"/>
      <c r="H316" s="25">
        <f>IF(B316="","",IF(TRIM(G316&amp;"")="",1,LEN(G316)-LEN(SUBSTITUTE(G316,",",""))+2))</f>
        <v/>
      </c>
      <c r="I316" s="26">
        <f>IF(OR(B316="",E316="",H316=""),"",E316/H316)</f>
        <v/>
      </c>
    </row>
    <row r="317">
      <c r="A317" s="24" t="n"/>
      <c r="B317" s="23" t="n"/>
      <c r="C317" s="23" t="n"/>
      <c r="D317" s="23" t="n"/>
      <c r="E317" s="17" t="n"/>
      <c r="F317" s="23" t="n"/>
      <c r="G317" s="23" t="n"/>
      <c r="H317" s="25">
        <f>IF(B317="","",IF(TRIM(G317&amp;"")="",1,LEN(G317)-LEN(SUBSTITUTE(G317,",",""))+2))</f>
        <v/>
      </c>
      <c r="I317" s="26">
        <f>IF(OR(B317="",E317="",H317=""),"",E317/H317)</f>
        <v/>
      </c>
    </row>
    <row r="318">
      <c r="A318" s="24" t="n"/>
      <c r="B318" s="23" t="n"/>
      <c r="C318" s="23" t="n"/>
      <c r="D318" s="23" t="n"/>
      <c r="E318" s="17" t="n"/>
      <c r="F318" s="23" t="n"/>
      <c r="G318" s="23" t="n"/>
      <c r="H318" s="25">
        <f>IF(B318="","",IF(TRIM(G318&amp;"")="",1,LEN(G318)-LEN(SUBSTITUTE(G318,",",""))+2))</f>
        <v/>
      </c>
      <c r="I318" s="26">
        <f>IF(OR(B318="",E318="",H318=""),"",E318/H318)</f>
        <v/>
      </c>
    </row>
    <row r="319">
      <c r="A319" s="24" t="n"/>
      <c r="B319" s="23" t="n"/>
      <c r="C319" s="23" t="n"/>
      <c r="D319" s="23" t="n"/>
      <c r="E319" s="17" t="n"/>
      <c r="F319" s="23" t="n"/>
      <c r="G319" s="23" t="n"/>
      <c r="H319" s="25">
        <f>IF(B319="","",IF(TRIM(G319&amp;"")="",1,LEN(G319)-LEN(SUBSTITUTE(G319,",",""))+2))</f>
        <v/>
      </c>
      <c r="I319" s="26">
        <f>IF(OR(B319="",E319="",H319=""),"",E319/H319)</f>
        <v/>
      </c>
    </row>
    <row r="320">
      <c r="A320" s="24" t="n"/>
      <c r="B320" s="23" t="n"/>
      <c r="C320" s="23" t="n"/>
      <c r="D320" s="23" t="n"/>
      <c r="E320" s="17" t="n"/>
      <c r="F320" s="23" t="n"/>
      <c r="G320" s="23" t="n"/>
      <c r="H320" s="25">
        <f>IF(B320="","",IF(TRIM(G320&amp;"")="",1,LEN(G320)-LEN(SUBSTITUTE(G320,",",""))+2))</f>
        <v/>
      </c>
      <c r="I320" s="26">
        <f>IF(OR(B320="",E320="",H320=""),"",E320/H320)</f>
        <v/>
      </c>
    </row>
    <row r="321">
      <c r="A321" s="24" t="n"/>
      <c r="B321" s="23" t="n"/>
      <c r="C321" s="23" t="n"/>
      <c r="D321" s="23" t="n"/>
      <c r="E321" s="17" t="n"/>
      <c r="F321" s="23" t="n"/>
      <c r="G321" s="23" t="n"/>
      <c r="H321" s="25">
        <f>IF(B321="","",IF(TRIM(G321&amp;"")="",1,LEN(G321)-LEN(SUBSTITUTE(G321,",",""))+2))</f>
        <v/>
      </c>
      <c r="I321" s="26">
        <f>IF(OR(B321="",E321="",H321=""),"",E321/H321)</f>
        <v/>
      </c>
    </row>
    <row r="322">
      <c r="A322" s="24" t="n"/>
      <c r="B322" s="23" t="n"/>
      <c r="C322" s="23" t="n"/>
      <c r="D322" s="23" t="n"/>
      <c r="E322" s="17" t="n"/>
      <c r="F322" s="23" t="n"/>
      <c r="G322" s="23" t="n"/>
      <c r="H322" s="25">
        <f>IF(B322="","",IF(TRIM(G322&amp;"")="",1,LEN(G322)-LEN(SUBSTITUTE(G322,",",""))+2))</f>
        <v/>
      </c>
      <c r="I322" s="26">
        <f>IF(OR(B322="",E322="",H322=""),"",E322/H322)</f>
        <v/>
      </c>
    </row>
    <row r="323">
      <c r="A323" s="24" t="n"/>
      <c r="B323" s="23" t="n"/>
      <c r="C323" s="23" t="n"/>
      <c r="D323" s="23" t="n"/>
      <c r="E323" s="17" t="n"/>
      <c r="F323" s="23" t="n"/>
      <c r="G323" s="23" t="n"/>
      <c r="H323" s="25">
        <f>IF(B323="","",IF(TRIM(G323&amp;"")="",1,LEN(G323)-LEN(SUBSTITUTE(G323,",",""))+2))</f>
        <v/>
      </c>
      <c r="I323" s="26">
        <f>IF(OR(B323="",E323="",H323=""),"",E323/H323)</f>
        <v/>
      </c>
    </row>
    <row r="324">
      <c r="A324" s="24" t="n"/>
      <c r="B324" s="23" t="n"/>
      <c r="C324" s="23" t="n"/>
      <c r="D324" s="23" t="n"/>
      <c r="E324" s="17" t="n"/>
      <c r="F324" s="23" t="n"/>
      <c r="G324" s="23" t="n"/>
      <c r="H324" s="25">
        <f>IF(B324="","",IF(TRIM(G324&amp;"")="",1,LEN(G324)-LEN(SUBSTITUTE(G324,",",""))+2))</f>
        <v/>
      </c>
      <c r="I324" s="26">
        <f>IF(OR(B324="",E324="",H324=""),"",E324/H324)</f>
        <v/>
      </c>
    </row>
    <row r="325">
      <c r="A325" s="24" t="n"/>
      <c r="B325" s="23" t="n"/>
      <c r="C325" s="23" t="n"/>
      <c r="D325" s="23" t="n"/>
      <c r="E325" s="17" t="n"/>
      <c r="F325" s="23" t="n"/>
      <c r="G325" s="23" t="n"/>
      <c r="H325" s="25">
        <f>IF(B325="","",IF(TRIM(G325&amp;"")="",1,LEN(G325)-LEN(SUBSTITUTE(G325,",",""))+2))</f>
        <v/>
      </c>
      <c r="I325" s="26">
        <f>IF(OR(B325="",E325="",H325=""),"",E325/H325)</f>
        <v/>
      </c>
    </row>
    <row r="326">
      <c r="A326" s="24" t="n"/>
      <c r="B326" s="23" t="n"/>
      <c r="C326" s="23" t="n"/>
      <c r="D326" s="23" t="n"/>
      <c r="E326" s="17" t="n"/>
      <c r="F326" s="23" t="n"/>
      <c r="G326" s="23" t="n"/>
      <c r="H326" s="25">
        <f>IF(B326="","",IF(TRIM(G326&amp;"")="",1,LEN(G326)-LEN(SUBSTITUTE(G326,",",""))+2))</f>
        <v/>
      </c>
      <c r="I326" s="26">
        <f>IF(OR(B326="",E326="",H326=""),"",E326/H326)</f>
        <v/>
      </c>
    </row>
    <row r="327">
      <c r="A327" s="24" t="n"/>
      <c r="B327" s="23" t="n"/>
      <c r="C327" s="23" t="n"/>
      <c r="D327" s="23" t="n"/>
      <c r="E327" s="17" t="n"/>
      <c r="F327" s="23" t="n"/>
      <c r="G327" s="23" t="n"/>
      <c r="H327" s="25">
        <f>IF(B327="","",IF(TRIM(G327&amp;"")="",1,LEN(G327)-LEN(SUBSTITUTE(G327,",",""))+2))</f>
        <v/>
      </c>
      <c r="I327" s="26">
        <f>IF(OR(B327="",E327="",H327=""),"",E327/H327)</f>
        <v/>
      </c>
    </row>
    <row r="328">
      <c r="A328" s="24" t="n"/>
      <c r="B328" s="23" t="n"/>
      <c r="C328" s="23" t="n"/>
      <c r="D328" s="23" t="n"/>
      <c r="E328" s="17" t="n"/>
      <c r="F328" s="23" t="n"/>
      <c r="G328" s="23" t="n"/>
      <c r="H328" s="25">
        <f>IF(B328="","",IF(TRIM(G328&amp;"")="",1,LEN(G328)-LEN(SUBSTITUTE(G328,",",""))+2))</f>
        <v/>
      </c>
      <c r="I328" s="26">
        <f>IF(OR(B328="",E328="",H328=""),"",E328/H328)</f>
        <v/>
      </c>
    </row>
    <row r="329">
      <c r="A329" s="24" t="n"/>
      <c r="B329" s="23" t="n"/>
      <c r="C329" s="23" t="n"/>
      <c r="D329" s="23" t="n"/>
      <c r="E329" s="17" t="n"/>
      <c r="F329" s="23" t="n"/>
      <c r="G329" s="23" t="n"/>
      <c r="H329" s="25">
        <f>IF(B329="","",IF(TRIM(G329&amp;"")="",1,LEN(G329)-LEN(SUBSTITUTE(G329,",",""))+2))</f>
        <v/>
      </c>
      <c r="I329" s="26">
        <f>IF(OR(B329="",E329="",H329=""),"",E329/H329)</f>
        <v/>
      </c>
    </row>
    <row r="330">
      <c r="A330" s="24" t="n"/>
      <c r="B330" s="23" t="n"/>
      <c r="C330" s="23" t="n"/>
      <c r="D330" s="23" t="n"/>
      <c r="E330" s="17" t="n"/>
      <c r="F330" s="23" t="n"/>
      <c r="G330" s="23" t="n"/>
      <c r="H330" s="25">
        <f>IF(B330="","",IF(TRIM(G330&amp;"")="",1,LEN(G330)-LEN(SUBSTITUTE(G330,",",""))+2))</f>
        <v/>
      </c>
      <c r="I330" s="26">
        <f>IF(OR(B330="",E330="",H330=""),"",E330/H330)</f>
        <v/>
      </c>
    </row>
    <row r="331">
      <c r="A331" s="24" t="n"/>
      <c r="B331" s="23" t="n"/>
      <c r="C331" s="23" t="n"/>
      <c r="D331" s="23" t="n"/>
      <c r="E331" s="17" t="n"/>
      <c r="F331" s="23" t="n"/>
      <c r="G331" s="23" t="n"/>
      <c r="H331" s="25">
        <f>IF(B331="","",IF(TRIM(G331&amp;"")="",1,LEN(G331)-LEN(SUBSTITUTE(G331,",",""))+2))</f>
        <v/>
      </c>
      <c r="I331" s="26">
        <f>IF(OR(B331="",E331="",H331=""),"",E331/H331)</f>
        <v/>
      </c>
    </row>
    <row r="332">
      <c r="A332" s="24" t="n"/>
      <c r="B332" s="23" t="n"/>
      <c r="C332" s="23" t="n"/>
      <c r="D332" s="23" t="n"/>
      <c r="E332" s="17" t="n"/>
      <c r="F332" s="23" t="n"/>
      <c r="G332" s="23" t="n"/>
      <c r="H332" s="25">
        <f>IF(B332="","",IF(TRIM(G332&amp;"")="",1,LEN(G332)-LEN(SUBSTITUTE(G332,",",""))+2))</f>
        <v/>
      </c>
      <c r="I332" s="26">
        <f>IF(OR(B332="",E332="",H332=""),"",E332/H332)</f>
        <v/>
      </c>
    </row>
    <row r="333">
      <c r="A333" s="24" t="n"/>
      <c r="B333" s="23" t="n"/>
      <c r="C333" s="23" t="n"/>
      <c r="D333" s="23" t="n"/>
      <c r="E333" s="17" t="n"/>
      <c r="F333" s="23" t="n"/>
      <c r="G333" s="23" t="n"/>
      <c r="H333" s="25">
        <f>IF(B333="","",IF(TRIM(G333&amp;"")="",1,LEN(G333)-LEN(SUBSTITUTE(G333,",",""))+2))</f>
        <v/>
      </c>
      <c r="I333" s="26">
        <f>IF(OR(B333="",E333="",H333=""),"",E333/H333)</f>
        <v/>
      </c>
    </row>
    <row r="334">
      <c r="A334" s="24" t="n"/>
      <c r="B334" s="23" t="n"/>
      <c r="C334" s="23" t="n"/>
      <c r="D334" s="23" t="n"/>
      <c r="E334" s="17" t="n"/>
      <c r="F334" s="23" t="n"/>
      <c r="G334" s="23" t="n"/>
      <c r="H334" s="25">
        <f>IF(B334="","",IF(TRIM(G334&amp;"")="",1,LEN(G334)-LEN(SUBSTITUTE(G334,",",""))+2))</f>
        <v/>
      </c>
      <c r="I334" s="26">
        <f>IF(OR(B334="",E334="",H334=""),"",E334/H334)</f>
        <v/>
      </c>
    </row>
    <row r="335">
      <c r="A335" s="24" t="n"/>
      <c r="B335" s="23" t="n"/>
      <c r="C335" s="23" t="n"/>
      <c r="D335" s="23" t="n"/>
      <c r="E335" s="17" t="n"/>
      <c r="F335" s="23" t="n"/>
      <c r="G335" s="23" t="n"/>
      <c r="H335" s="25">
        <f>IF(B335="","",IF(TRIM(G335&amp;"")="",1,LEN(G335)-LEN(SUBSTITUTE(G335,",",""))+2))</f>
        <v/>
      </c>
      <c r="I335" s="26">
        <f>IF(OR(B335="",E335="",H335=""),"",E335/H335)</f>
        <v/>
      </c>
    </row>
    <row r="336">
      <c r="A336" s="24" t="n"/>
      <c r="B336" s="23" t="n"/>
      <c r="C336" s="23" t="n"/>
      <c r="D336" s="23" t="n"/>
      <c r="E336" s="17" t="n"/>
      <c r="F336" s="23" t="n"/>
      <c r="G336" s="23" t="n"/>
      <c r="H336" s="25">
        <f>IF(B336="","",IF(TRIM(G336&amp;"")="",1,LEN(G336)-LEN(SUBSTITUTE(G336,",",""))+2))</f>
        <v/>
      </c>
      <c r="I336" s="26">
        <f>IF(OR(B336="",E336="",H336=""),"",E336/H336)</f>
        <v/>
      </c>
    </row>
    <row r="337">
      <c r="A337" s="24" t="n"/>
      <c r="B337" s="23" t="n"/>
      <c r="C337" s="23" t="n"/>
      <c r="D337" s="23" t="n"/>
      <c r="E337" s="17" t="n"/>
      <c r="F337" s="23" t="n"/>
      <c r="G337" s="23" t="n"/>
      <c r="H337" s="25">
        <f>IF(B337="","",IF(TRIM(G337&amp;"")="",1,LEN(G337)-LEN(SUBSTITUTE(G337,",",""))+2))</f>
        <v/>
      </c>
      <c r="I337" s="26">
        <f>IF(OR(B337="",E337="",H337=""),"",E337/H337)</f>
        <v/>
      </c>
    </row>
    <row r="338">
      <c r="A338" s="24" t="n"/>
      <c r="B338" s="23" t="n"/>
      <c r="C338" s="23" t="n"/>
      <c r="D338" s="23" t="n"/>
      <c r="E338" s="17" t="n"/>
      <c r="F338" s="23" t="n"/>
      <c r="G338" s="23" t="n"/>
      <c r="H338" s="25">
        <f>IF(B338="","",IF(TRIM(G338&amp;"")="",1,LEN(G338)-LEN(SUBSTITUTE(G338,",",""))+2))</f>
        <v/>
      </c>
      <c r="I338" s="26">
        <f>IF(OR(B338="",E338="",H338=""),"",E338/H338)</f>
        <v/>
      </c>
    </row>
    <row r="339">
      <c r="A339" s="24" t="n"/>
      <c r="B339" s="23" t="n"/>
      <c r="C339" s="23" t="n"/>
      <c r="D339" s="23" t="n"/>
      <c r="E339" s="17" t="n"/>
      <c r="F339" s="23" t="n"/>
      <c r="G339" s="23" t="n"/>
      <c r="H339" s="25">
        <f>IF(B339="","",IF(TRIM(G339&amp;"")="",1,LEN(G339)-LEN(SUBSTITUTE(G339,",",""))+2))</f>
        <v/>
      </c>
      <c r="I339" s="26">
        <f>IF(OR(B339="",E339="",H339=""),"",E339/H339)</f>
        <v/>
      </c>
    </row>
    <row r="340">
      <c r="A340" s="24" t="n"/>
      <c r="B340" s="23" t="n"/>
      <c r="C340" s="23" t="n"/>
      <c r="D340" s="23" t="n"/>
      <c r="E340" s="17" t="n"/>
      <c r="F340" s="23" t="n"/>
      <c r="G340" s="23" t="n"/>
      <c r="H340" s="25">
        <f>IF(B340="","",IF(TRIM(G340&amp;"")="",1,LEN(G340)-LEN(SUBSTITUTE(G340,",",""))+2))</f>
        <v/>
      </c>
      <c r="I340" s="26">
        <f>IF(OR(B340="",E340="",H340=""),"",E340/H340)</f>
        <v/>
      </c>
    </row>
    <row r="341">
      <c r="A341" s="24" t="n"/>
      <c r="B341" s="23" t="n"/>
      <c r="C341" s="23" t="n"/>
      <c r="D341" s="23" t="n"/>
      <c r="E341" s="17" t="n"/>
      <c r="F341" s="23" t="n"/>
      <c r="G341" s="23" t="n"/>
      <c r="H341" s="25">
        <f>IF(B341="","",IF(TRIM(G341&amp;"")="",1,LEN(G341)-LEN(SUBSTITUTE(G341,",",""))+2))</f>
        <v/>
      </c>
      <c r="I341" s="26">
        <f>IF(OR(B341="",E341="",H341=""),"",E341/H341)</f>
        <v/>
      </c>
    </row>
    <row r="342">
      <c r="A342" s="24" t="n"/>
      <c r="B342" s="23" t="n"/>
      <c r="C342" s="23" t="n"/>
      <c r="D342" s="23" t="n"/>
      <c r="E342" s="17" t="n"/>
      <c r="F342" s="23" t="n"/>
      <c r="G342" s="23" t="n"/>
      <c r="H342" s="25">
        <f>IF(B342="","",IF(TRIM(G342&amp;"")="",1,LEN(G342)-LEN(SUBSTITUTE(G342,",",""))+2))</f>
        <v/>
      </c>
      <c r="I342" s="26">
        <f>IF(OR(B342="",E342="",H342=""),"",E342/H342)</f>
        <v/>
      </c>
    </row>
    <row r="343">
      <c r="A343" s="24" t="n"/>
      <c r="B343" s="23" t="n"/>
      <c r="C343" s="23" t="n"/>
      <c r="D343" s="23" t="n"/>
      <c r="E343" s="17" t="n"/>
      <c r="F343" s="23" t="n"/>
      <c r="G343" s="23" t="n"/>
      <c r="H343" s="25">
        <f>IF(B343="","",IF(TRIM(G343&amp;"")="",1,LEN(G343)-LEN(SUBSTITUTE(G343,",",""))+2))</f>
        <v/>
      </c>
      <c r="I343" s="26">
        <f>IF(OR(B343="",E343="",H343=""),"",E343/H343)</f>
        <v/>
      </c>
    </row>
    <row r="344">
      <c r="A344" s="24" t="n"/>
      <c r="B344" s="23" t="n"/>
      <c r="C344" s="23" t="n"/>
      <c r="D344" s="23" t="n"/>
      <c r="E344" s="17" t="n"/>
      <c r="F344" s="23" t="n"/>
      <c r="G344" s="23" t="n"/>
      <c r="H344" s="25">
        <f>IF(B344="","",IF(TRIM(G344&amp;"")="",1,LEN(G344)-LEN(SUBSTITUTE(G344,",",""))+2))</f>
        <v/>
      </c>
      <c r="I344" s="26">
        <f>IF(OR(B344="",E344="",H344=""),"",E344/H344)</f>
        <v/>
      </c>
    </row>
    <row r="345">
      <c r="A345" s="24" t="n"/>
      <c r="B345" s="23" t="n"/>
      <c r="C345" s="23" t="n"/>
      <c r="D345" s="23" t="n"/>
      <c r="E345" s="17" t="n"/>
      <c r="F345" s="23" t="n"/>
      <c r="G345" s="23" t="n"/>
      <c r="H345" s="25">
        <f>IF(B345="","",IF(TRIM(G345&amp;"")="",1,LEN(G345)-LEN(SUBSTITUTE(G345,",",""))+2))</f>
        <v/>
      </c>
      <c r="I345" s="26">
        <f>IF(OR(B345="",E345="",H345=""),"",E345/H345)</f>
        <v/>
      </c>
    </row>
    <row r="346">
      <c r="A346" s="24" t="n"/>
      <c r="B346" s="23" t="n"/>
      <c r="C346" s="23" t="n"/>
      <c r="D346" s="23" t="n"/>
      <c r="E346" s="17" t="n"/>
      <c r="F346" s="23" t="n"/>
      <c r="G346" s="23" t="n"/>
      <c r="H346" s="25">
        <f>IF(B346="","",IF(TRIM(G346&amp;"")="",1,LEN(G346)-LEN(SUBSTITUTE(G346,",",""))+2))</f>
        <v/>
      </c>
      <c r="I346" s="26">
        <f>IF(OR(B346="",E346="",H346=""),"",E346/H346)</f>
        <v/>
      </c>
    </row>
    <row r="347">
      <c r="A347" s="24" t="n"/>
      <c r="B347" s="23" t="n"/>
      <c r="C347" s="23" t="n"/>
      <c r="D347" s="23" t="n"/>
      <c r="E347" s="17" t="n"/>
      <c r="F347" s="23" t="n"/>
      <c r="G347" s="23" t="n"/>
      <c r="H347" s="25">
        <f>IF(B347="","",IF(TRIM(G347&amp;"")="",1,LEN(G347)-LEN(SUBSTITUTE(G347,",",""))+2))</f>
        <v/>
      </c>
      <c r="I347" s="26">
        <f>IF(OR(B347="",E347="",H347=""),"",E347/H347)</f>
        <v/>
      </c>
    </row>
    <row r="348">
      <c r="A348" s="24" t="n"/>
      <c r="B348" s="23" t="n"/>
      <c r="C348" s="23" t="n"/>
      <c r="D348" s="23" t="n"/>
      <c r="E348" s="17" t="n"/>
      <c r="F348" s="23" t="n"/>
      <c r="G348" s="23" t="n"/>
      <c r="H348" s="25">
        <f>IF(B348="","",IF(TRIM(G348&amp;"")="",1,LEN(G348)-LEN(SUBSTITUTE(G348,",",""))+2))</f>
        <v/>
      </c>
      <c r="I348" s="26">
        <f>IF(OR(B348="",E348="",H348=""),"",E348/H348)</f>
        <v/>
      </c>
    </row>
    <row r="349">
      <c r="A349" s="24" t="n"/>
      <c r="B349" s="23" t="n"/>
      <c r="C349" s="23" t="n"/>
      <c r="D349" s="23" t="n"/>
      <c r="E349" s="17" t="n"/>
      <c r="F349" s="23" t="n"/>
      <c r="G349" s="23" t="n"/>
      <c r="H349" s="25">
        <f>IF(B349="","",IF(TRIM(G349&amp;"")="",1,LEN(G349)-LEN(SUBSTITUTE(G349,",",""))+2))</f>
        <v/>
      </c>
      <c r="I349" s="26">
        <f>IF(OR(B349="",E349="",H349=""),"",E349/H349)</f>
        <v/>
      </c>
    </row>
    <row r="350">
      <c r="A350" s="24" t="n"/>
      <c r="B350" s="23" t="n"/>
      <c r="C350" s="23" t="n"/>
      <c r="D350" s="23" t="n"/>
      <c r="E350" s="17" t="n"/>
      <c r="F350" s="23" t="n"/>
      <c r="G350" s="23" t="n"/>
      <c r="H350" s="25">
        <f>IF(B350="","",IF(TRIM(G350&amp;"")="",1,LEN(G350)-LEN(SUBSTITUTE(G350,",",""))+2))</f>
        <v/>
      </c>
      <c r="I350" s="26">
        <f>IF(OR(B350="",E350="",H350=""),"",E350/H350)</f>
        <v/>
      </c>
    </row>
    <row r="351">
      <c r="A351" s="24" t="n"/>
      <c r="B351" s="23" t="n"/>
      <c r="C351" s="23" t="n"/>
      <c r="D351" s="23" t="n"/>
      <c r="E351" s="17" t="n"/>
      <c r="F351" s="23" t="n"/>
      <c r="G351" s="23" t="n"/>
      <c r="H351" s="25">
        <f>IF(B351="","",IF(TRIM(G351&amp;"")="",1,LEN(G351)-LEN(SUBSTITUTE(G351,",",""))+2))</f>
        <v/>
      </c>
      <c r="I351" s="26">
        <f>IF(OR(B351="",E351="",H351=""),"",E351/H351)</f>
        <v/>
      </c>
    </row>
    <row r="352">
      <c r="A352" s="24" t="n"/>
      <c r="B352" s="23" t="n"/>
      <c r="C352" s="23" t="n"/>
      <c r="D352" s="23" t="n"/>
      <c r="E352" s="17" t="n"/>
      <c r="F352" s="23" t="n"/>
      <c r="G352" s="23" t="n"/>
      <c r="H352" s="25">
        <f>IF(B352="","",IF(TRIM(G352&amp;"")="",1,LEN(G352)-LEN(SUBSTITUTE(G352,",",""))+2))</f>
        <v/>
      </c>
      <c r="I352" s="26">
        <f>IF(OR(B352="",E352="",H352=""),"",E352/H352)</f>
        <v/>
      </c>
    </row>
    <row r="353">
      <c r="A353" s="24" t="n"/>
      <c r="B353" s="23" t="n"/>
      <c r="C353" s="23" t="n"/>
      <c r="D353" s="23" t="n"/>
      <c r="E353" s="17" t="n"/>
      <c r="F353" s="23" t="n"/>
      <c r="G353" s="23" t="n"/>
      <c r="H353" s="25">
        <f>IF(B353="","",IF(TRIM(G353&amp;"")="",1,LEN(G353)-LEN(SUBSTITUTE(G353,",",""))+2))</f>
        <v/>
      </c>
      <c r="I353" s="26">
        <f>IF(OR(B353="",E353="",H353=""),"",E353/H353)</f>
        <v/>
      </c>
    </row>
    <row r="354">
      <c r="A354" s="24" t="n"/>
      <c r="B354" s="23" t="n"/>
      <c r="C354" s="23" t="n"/>
      <c r="D354" s="23" t="n"/>
      <c r="E354" s="17" t="n"/>
      <c r="F354" s="23" t="n"/>
      <c r="G354" s="23" t="n"/>
      <c r="H354" s="25">
        <f>IF(B354="","",IF(TRIM(G354&amp;"")="",1,LEN(G354)-LEN(SUBSTITUTE(G354,",",""))+2))</f>
        <v/>
      </c>
      <c r="I354" s="26">
        <f>IF(OR(B354="",E354="",H354=""),"",E354/H354)</f>
        <v/>
      </c>
    </row>
    <row r="355">
      <c r="A355" s="24" t="n"/>
      <c r="B355" s="23" t="n"/>
      <c r="C355" s="23" t="n"/>
      <c r="D355" s="23" t="n"/>
      <c r="E355" s="17" t="n"/>
      <c r="F355" s="23" t="n"/>
      <c r="G355" s="23" t="n"/>
      <c r="H355" s="25">
        <f>IF(B355="","",IF(TRIM(G355&amp;"")="",1,LEN(G355)-LEN(SUBSTITUTE(G355,",",""))+2))</f>
        <v/>
      </c>
      <c r="I355" s="26">
        <f>IF(OR(B355="",E355="",H355=""),"",E355/H355)</f>
        <v/>
      </c>
    </row>
    <row r="356">
      <c r="A356" s="24" t="n"/>
      <c r="B356" s="23" t="n"/>
      <c r="C356" s="23" t="n"/>
      <c r="D356" s="23" t="n"/>
      <c r="E356" s="17" t="n"/>
      <c r="F356" s="23" t="n"/>
      <c r="G356" s="23" t="n"/>
      <c r="H356" s="25">
        <f>IF(B356="","",IF(TRIM(G356&amp;"")="",1,LEN(G356)-LEN(SUBSTITUTE(G356,",",""))+2))</f>
        <v/>
      </c>
      <c r="I356" s="26">
        <f>IF(OR(B356="",E356="",H356=""),"",E356/H356)</f>
        <v/>
      </c>
    </row>
    <row r="357">
      <c r="A357" s="24" t="n"/>
      <c r="B357" s="23" t="n"/>
      <c r="C357" s="23" t="n"/>
      <c r="D357" s="23" t="n"/>
      <c r="E357" s="17" t="n"/>
      <c r="F357" s="23" t="n"/>
      <c r="G357" s="23" t="n"/>
      <c r="H357" s="25">
        <f>IF(B357="","",IF(TRIM(G357&amp;"")="",1,LEN(G357)-LEN(SUBSTITUTE(G357,",",""))+2))</f>
        <v/>
      </c>
      <c r="I357" s="26">
        <f>IF(OR(B357="",E357="",H357=""),"",E357/H357)</f>
        <v/>
      </c>
    </row>
    <row r="358">
      <c r="A358" s="24" t="n"/>
      <c r="B358" s="23" t="n"/>
      <c r="C358" s="23" t="n"/>
      <c r="D358" s="23" t="n"/>
      <c r="E358" s="17" t="n"/>
      <c r="F358" s="23" t="n"/>
      <c r="G358" s="23" t="n"/>
      <c r="H358" s="25">
        <f>IF(B358="","",IF(TRIM(G358&amp;"")="",1,LEN(G358)-LEN(SUBSTITUTE(G358,",",""))+2))</f>
        <v/>
      </c>
      <c r="I358" s="26">
        <f>IF(OR(B358="",E358="",H358=""),"",E358/H358)</f>
        <v/>
      </c>
    </row>
    <row r="359">
      <c r="A359" s="24" t="n"/>
      <c r="B359" s="23" t="n"/>
      <c r="C359" s="23" t="n"/>
      <c r="D359" s="23" t="n"/>
      <c r="E359" s="17" t="n"/>
      <c r="F359" s="23" t="n"/>
      <c r="G359" s="23" t="n"/>
      <c r="H359" s="25">
        <f>IF(B359="","",IF(TRIM(G359&amp;"")="",1,LEN(G359)-LEN(SUBSTITUTE(G359,",",""))+2))</f>
        <v/>
      </c>
      <c r="I359" s="26">
        <f>IF(OR(B359="",E359="",H359=""),"",E359/H359)</f>
        <v/>
      </c>
    </row>
    <row r="360">
      <c r="A360" s="24" t="n"/>
      <c r="B360" s="23" t="n"/>
      <c r="C360" s="23" t="n"/>
      <c r="D360" s="23" t="n"/>
      <c r="E360" s="17" t="n"/>
      <c r="F360" s="23" t="n"/>
      <c r="G360" s="23" t="n"/>
      <c r="H360" s="25">
        <f>IF(B360="","",IF(TRIM(G360&amp;"")="",1,LEN(G360)-LEN(SUBSTITUTE(G360,",",""))+2))</f>
        <v/>
      </c>
      <c r="I360" s="26">
        <f>IF(OR(B360="",E360="",H360=""),"",E360/H360)</f>
        <v/>
      </c>
    </row>
    <row r="361">
      <c r="A361" s="24" t="n"/>
      <c r="B361" s="23" t="n"/>
      <c r="C361" s="23" t="n"/>
      <c r="D361" s="23" t="n"/>
      <c r="E361" s="17" t="n"/>
      <c r="F361" s="23" t="n"/>
      <c r="G361" s="23" t="n"/>
      <c r="H361" s="25">
        <f>IF(B361="","",IF(TRIM(G361&amp;"")="",1,LEN(G361)-LEN(SUBSTITUTE(G361,",",""))+2))</f>
        <v/>
      </c>
      <c r="I361" s="26">
        <f>IF(OR(B361="",E361="",H361=""),"",E361/H361)</f>
        <v/>
      </c>
    </row>
    <row r="362">
      <c r="A362" s="24" t="n"/>
      <c r="B362" s="23" t="n"/>
      <c r="C362" s="23" t="n"/>
      <c r="D362" s="23" t="n"/>
      <c r="E362" s="17" t="n"/>
      <c r="F362" s="23" t="n"/>
      <c r="G362" s="23" t="n"/>
      <c r="H362" s="25">
        <f>IF(B362="","",IF(TRIM(G362&amp;"")="",1,LEN(G362)-LEN(SUBSTITUTE(G362,",",""))+2))</f>
        <v/>
      </c>
      <c r="I362" s="26">
        <f>IF(OR(B362="",E362="",H362=""),"",E362/H362)</f>
        <v/>
      </c>
    </row>
    <row r="363">
      <c r="A363" s="24" t="n"/>
      <c r="B363" s="23" t="n"/>
      <c r="C363" s="23" t="n"/>
      <c r="D363" s="23" t="n"/>
      <c r="E363" s="17" t="n"/>
      <c r="F363" s="23" t="n"/>
      <c r="G363" s="23" t="n"/>
      <c r="H363" s="25">
        <f>IF(B363="","",IF(TRIM(G363&amp;"")="",1,LEN(G363)-LEN(SUBSTITUTE(G363,",",""))+2))</f>
        <v/>
      </c>
      <c r="I363" s="26">
        <f>IF(OR(B363="",E363="",H363=""),"",E363/H363)</f>
        <v/>
      </c>
    </row>
    <row r="364">
      <c r="A364" s="24" t="n"/>
      <c r="B364" s="23" t="n"/>
      <c r="C364" s="23" t="n"/>
      <c r="D364" s="23" t="n"/>
      <c r="E364" s="17" t="n"/>
      <c r="F364" s="23" t="n"/>
      <c r="G364" s="23" t="n"/>
      <c r="H364" s="25">
        <f>IF(B364="","",IF(TRIM(G364&amp;"")="",1,LEN(G364)-LEN(SUBSTITUTE(G364,",",""))+2))</f>
        <v/>
      </c>
      <c r="I364" s="26">
        <f>IF(OR(B364="",E364="",H364=""),"",E364/H364)</f>
        <v/>
      </c>
    </row>
    <row r="365">
      <c r="A365" s="24" t="n"/>
      <c r="B365" s="23" t="n"/>
      <c r="C365" s="23" t="n"/>
      <c r="D365" s="23" t="n"/>
      <c r="E365" s="17" t="n"/>
      <c r="F365" s="23" t="n"/>
      <c r="G365" s="23" t="n"/>
      <c r="H365" s="25">
        <f>IF(B365="","",IF(TRIM(G365&amp;"")="",1,LEN(G365)-LEN(SUBSTITUTE(G365,",",""))+2))</f>
        <v/>
      </c>
      <c r="I365" s="26">
        <f>IF(OR(B365="",E365="",H365=""),"",E365/H365)</f>
        <v/>
      </c>
    </row>
    <row r="366">
      <c r="A366" s="24" t="n"/>
      <c r="B366" s="23" t="n"/>
      <c r="C366" s="23" t="n"/>
      <c r="D366" s="23" t="n"/>
      <c r="E366" s="17" t="n"/>
      <c r="F366" s="23" t="n"/>
      <c r="G366" s="23" t="n"/>
      <c r="H366" s="25">
        <f>IF(B366="","",IF(TRIM(G366&amp;"")="",1,LEN(G366)-LEN(SUBSTITUTE(G366,",",""))+2))</f>
        <v/>
      </c>
      <c r="I366" s="26">
        <f>IF(OR(B366="",E366="",H366=""),"",E366/H366)</f>
        <v/>
      </c>
    </row>
    <row r="367">
      <c r="A367" s="24" t="n"/>
      <c r="B367" s="23" t="n"/>
      <c r="C367" s="23" t="n"/>
      <c r="D367" s="23" t="n"/>
      <c r="E367" s="17" t="n"/>
      <c r="F367" s="23" t="n"/>
      <c r="G367" s="23" t="n"/>
      <c r="H367" s="25">
        <f>IF(B367="","",IF(TRIM(G367&amp;"")="",1,LEN(G367)-LEN(SUBSTITUTE(G367,",",""))+2))</f>
        <v/>
      </c>
      <c r="I367" s="26">
        <f>IF(OR(B367="",E367="",H367=""),"",E367/H367)</f>
        <v/>
      </c>
    </row>
    <row r="368">
      <c r="A368" s="24" t="n"/>
      <c r="B368" s="23" t="n"/>
      <c r="C368" s="23" t="n"/>
      <c r="D368" s="23" t="n"/>
      <c r="E368" s="17" t="n"/>
      <c r="F368" s="23" t="n"/>
      <c r="G368" s="23" t="n"/>
      <c r="H368" s="25">
        <f>IF(B368="","",IF(TRIM(G368&amp;"")="",1,LEN(G368)-LEN(SUBSTITUTE(G368,",",""))+2))</f>
        <v/>
      </c>
      <c r="I368" s="26">
        <f>IF(OR(B368="",E368="",H368=""),"",E368/H368)</f>
        <v/>
      </c>
    </row>
    <row r="369">
      <c r="A369" s="24" t="n"/>
      <c r="B369" s="23" t="n"/>
      <c r="C369" s="23" t="n"/>
      <c r="D369" s="23" t="n"/>
      <c r="E369" s="17" t="n"/>
      <c r="F369" s="23" t="n"/>
      <c r="G369" s="23" t="n"/>
      <c r="H369" s="25">
        <f>IF(B369="","",IF(TRIM(G369&amp;"")="",1,LEN(G369)-LEN(SUBSTITUTE(G369,",",""))+2))</f>
        <v/>
      </c>
      <c r="I369" s="26">
        <f>IF(OR(B369="",E369="",H369=""),"",E369/H369)</f>
        <v/>
      </c>
    </row>
    <row r="370">
      <c r="A370" s="24" t="n"/>
      <c r="B370" s="23" t="n"/>
      <c r="C370" s="23" t="n"/>
      <c r="D370" s="23" t="n"/>
      <c r="E370" s="17" t="n"/>
      <c r="F370" s="23" t="n"/>
      <c r="G370" s="23" t="n"/>
      <c r="H370" s="25">
        <f>IF(B370="","",IF(TRIM(G370&amp;"")="",1,LEN(G370)-LEN(SUBSTITUTE(G370,",",""))+2))</f>
        <v/>
      </c>
      <c r="I370" s="26">
        <f>IF(OR(B370="",E370="",H370=""),"",E370/H370)</f>
        <v/>
      </c>
    </row>
    <row r="371">
      <c r="A371" s="24" t="n"/>
      <c r="B371" s="23" t="n"/>
      <c r="C371" s="23" t="n"/>
      <c r="D371" s="23" t="n"/>
      <c r="E371" s="17" t="n"/>
      <c r="F371" s="23" t="n"/>
      <c r="G371" s="23" t="n"/>
      <c r="H371" s="25">
        <f>IF(B371="","",IF(TRIM(G371&amp;"")="",1,LEN(G371)-LEN(SUBSTITUTE(G371,",",""))+2))</f>
        <v/>
      </c>
      <c r="I371" s="26">
        <f>IF(OR(B371="",E371="",H371=""),"",E371/H371)</f>
        <v/>
      </c>
    </row>
    <row r="372">
      <c r="A372" s="24" t="n"/>
      <c r="B372" s="23" t="n"/>
      <c r="C372" s="23" t="n"/>
      <c r="D372" s="23" t="n"/>
      <c r="E372" s="17" t="n"/>
      <c r="F372" s="23" t="n"/>
      <c r="G372" s="23" t="n"/>
      <c r="H372" s="25">
        <f>IF(B372="","",IF(TRIM(G372&amp;"")="",1,LEN(G372)-LEN(SUBSTITUTE(G372,",",""))+2))</f>
        <v/>
      </c>
      <c r="I372" s="26">
        <f>IF(OR(B372="",E372="",H372=""),"",E372/H372)</f>
        <v/>
      </c>
    </row>
    <row r="373">
      <c r="A373" s="24" t="n"/>
      <c r="B373" s="23" t="n"/>
      <c r="C373" s="23" t="n"/>
      <c r="D373" s="23" t="n"/>
      <c r="E373" s="17" t="n"/>
      <c r="F373" s="23" t="n"/>
      <c r="G373" s="23" t="n"/>
      <c r="H373" s="25">
        <f>IF(B373="","",IF(TRIM(G373&amp;"")="",1,LEN(G373)-LEN(SUBSTITUTE(G373,",",""))+2))</f>
        <v/>
      </c>
      <c r="I373" s="26">
        <f>IF(OR(B373="",E373="",H373=""),"",E373/H373)</f>
        <v/>
      </c>
    </row>
    <row r="374">
      <c r="A374" s="24" t="n"/>
      <c r="B374" s="23" t="n"/>
      <c r="C374" s="23" t="n"/>
      <c r="D374" s="23" t="n"/>
      <c r="E374" s="17" t="n"/>
      <c r="F374" s="23" t="n"/>
      <c r="G374" s="23" t="n"/>
      <c r="H374" s="25">
        <f>IF(B374="","",IF(TRIM(G374&amp;"")="",1,LEN(G374)-LEN(SUBSTITUTE(G374,",",""))+2))</f>
        <v/>
      </c>
      <c r="I374" s="26">
        <f>IF(OR(B374="",E374="",H374=""),"",E374/H374)</f>
        <v/>
      </c>
    </row>
    <row r="375">
      <c r="A375" s="24" t="n"/>
      <c r="B375" s="23" t="n"/>
      <c r="C375" s="23" t="n"/>
      <c r="D375" s="23" t="n"/>
      <c r="E375" s="17" t="n"/>
      <c r="F375" s="23" t="n"/>
      <c r="G375" s="23" t="n"/>
      <c r="H375" s="25">
        <f>IF(B375="","",IF(TRIM(G375&amp;"")="",1,LEN(G375)-LEN(SUBSTITUTE(G375,",",""))+2))</f>
        <v/>
      </c>
      <c r="I375" s="26">
        <f>IF(OR(B375="",E375="",H375=""),"",E375/H375)</f>
        <v/>
      </c>
    </row>
    <row r="376">
      <c r="A376" s="24" t="n"/>
      <c r="B376" s="23" t="n"/>
      <c r="C376" s="23" t="n"/>
      <c r="D376" s="23" t="n"/>
      <c r="E376" s="17" t="n"/>
      <c r="F376" s="23" t="n"/>
      <c r="G376" s="23" t="n"/>
      <c r="H376" s="25">
        <f>IF(B376="","",IF(TRIM(G376&amp;"")="",1,LEN(G376)-LEN(SUBSTITUTE(G376,",",""))+2))</f>
        <v/>
      </c>
      <c r="I376" s="26">
        <f>IF(OR(B376="",E376="",H376=""),"",E376/H376)</f>
        <v/>
      </c>
    </row>
    <row r="377">
      <c r="A377" s="24" t="n"/>
      <c r="B377" s="23" t="n"/>
      <c r="C377" s="23" t="n"/>
      <c r="D377" s="23" t="n"/>
      <c r="E377" s="17" t="n"/>
      <c r="F377" s="23" t="n"/>
      <c r="G377" s="23" t="n"/>
      <c r="H377" s="25">
        <f>IF(B377="","",IF(TRIM(G377&amp;"")="",1,LEN(G377)-LEN(SUBSTITUTE(G377,",",""))+2))</f>
        <v/>
      </c>
      <c r="I377" s="26">
        <f>IF(OR(B377="",E377="",H377=""),"",E377/H377)</f>
        <v/>
      </c>
    </row>
    <row r="378">
      <c r="A378" s="24" t="n"/>
      <c r="B378" s="23" t="n"/>
      <c r="C378" s="23" t="n"/>
      <c r="D378" s="23" t="n"/>
      <c r="E378" s="17" t="n"/>
      <c r="F378" s="23" t="n"/>
      <c r="G378" s="23" t="n"/>
      <c r="H378" s="25">
        <f>IF(B378="","",IF(TRIM(G378&amp;"")="",1,LEN(G378)-LEN(SUBSTITUTE(G378,",",""))+2))</f>
        <v/>
      </c>
      <c r="I378" s="26">
        <f>IF(OR(B378="",E378="",H378=""),"",E378/H378)</f>
        <v/>
      </c>
    </row>
    <row r="379">
      <c r="A379" s="24" t="n"/>
      <c r="B379" s="23" t="n"/>
      <c r="C379" s="23" t="n"/>
      <c r="D379" s="23" t="n"/>
      <c r="E379" s="17" t="n"/>
      <c r="F379" s="23" t="n"/>
      <c r="G379" s="23" t="n"/>
      <c r="H379" s="25">
        <f>IF(B379="","",IF(TRIM(G379&amp;"")="",1,LEN(G379)-LEN(SUBSTITUTE(G379,",",""))+2))</f>
        <v/>
      </c>
      <c r="I379" s="26">
        <f>IF(OR(B379="",E379="",H379=""),"",E379/H379)</f>
        <v/>
      </c>
    </row>
    <row r="380">
      <c r="A380" s="24" t="n"/>
      <c r="B380" s="23" t="n"/>
      <c r="C380" s="23" t="n"/>
      <c r="D380" s="23" t="n"/>
      <c r="E380" s="17" t="n"/>
      <c r="F380" s="23" t="n"/>
      <c r="G380" s="23" t="n"/>
      <c r="H380" s="25">
        <f>IF(B380="","",IF(TRIM(G380&amp;"")="",1,LEN(G380)-LEN(SUBSTITUTE(G380,",",""))+2))</f>
        <v/>
      </c>
      <c r="I380" s="26">
        <f>IF(OR(B380="",E380="",H380=""),"",E380/H380)</f>
        <v/>
      </c>
    </row>
    <row r="381">
      <c r="A381" s="24" t="n"/>
      <c r="B381" s="23" t="n"/>
      <c r="C381" s="23" t="n"/>
      <c r="D381" s="23" t="n"/>
      <c r="E381" s="17" t="n"/>
      <c r="F381" s="23" t="n"/>
      <c r="G381" s="23" t="n"/>
      <c r="H381" s="25">
        <f>IF(B381="","",IF(TRIM(G381&amp;"")="",1,LEN(G381)-LEN(SUBSTITUTE(G381,",",""))+2))</f>
        <v/>
      </c>
      <c r="I381" s="26">
        <f>IF(OR(B381="",E381="",H381=""),"",E381/H381)</f>
        <v/>
      </c>
    </row>
    <row r="382">
      <c r="A382" s="24" t="n"/>
      <c r="B382" s="23" t="n"/>
      <c r="C382" s="23" t="n"/>
      <c r="D382" s="23" t="n"/>
      <c r="E382" s="17" t="n"/>
      <c r="F382" s="23" t="n"/>
      <c r="G382" s="23" t="n"/>
      <c r="H382" s="25">
        <f>IF(B382="","",IF(TRIM(G382&amp;"")="",1,LEN(G382)-LEN(SUBSTITUTE(G382,",",""))+2))</f>
        <v/>
      </c>
      <c r="I382" s="26">
        <f>IF(OR(B382="",E382="",H382=""),"",E382/H382)</f>
        <v/>
      </c>
    </row>
    <row r="383">
      <c r="A383" s="24" t="n"/>
      <c r="B383" s="23" t="n"/>
      <c r="C383" s="23" t="n"/>
      <c r="D383" s="23" t="n"/>
      <c r="E383" s="17" t="n"/>
      <c r="F383" s="23" t="n"/>
      <c r="G383" s="23" t="n"/>
      <c r="H383" s="25">
        <f>IF(B383="","",IF(TRIM(G383&amp;"")="",1,LEN(G383)-LEN(SUBSTITUTE(G383,",",""))+2))</f>
        <v/>
      </c>
      <c r="I383" s="26">
        <f>IF(OR(B383="",E383="",H383=""),"",E383/H383)</f>
        <v/>
      </c>
    </row>
    <row r="384">
      <c r="A384" s="24" t="n"/>
      <c r="B384" s="23" t="n"/>
      <c r="C384" s="23" t="n"/>
      <c r="D384" s="23" t="n"/>
      <c r="E384" s="17" t="n"/>
      <c r="F384" s="23" t="n"/>
      <c r="G384" s="23" t="n"/>
      <c r="H384" s="25">
        <f>IF(B384="","",IF(TRIM(G384&amp;"")="",1,LEN(G384)-LEN(SUBSTITUTE(G384,",",""))+2))</f>
        <v/>
      </c>
      <c r="I384" s="26">
        <f>IF(OR(B384="",E384="",H384=""),"",E384/H384)</f>
        <v/>
      </c>
    </row>
    <row r="385">
      <c r="A385" s="24" t="n"/>
      <c r="B385" s="23" t="n"/>
      <c r="C385" s="23" t="n"/>
      <c r="D385" s="23" t="n"/>
      <c r="E385" s="17" t="n"/>
      <c r="F385" s="23" t="n"/>
      <c r="G385" s="23" t="n"/>
      <c r="H385" s="25">
        <f>IF(B385="","",IF(TRIM(G385&amp;"")="",1,LEN(G385)-LEN(SUBSTITUTE(G385,",",""))+2))</f>
        <v/>
      </c>
      <c r="I385" s="26">
        <f>IF(OR(B385="",E385="",H385=""),"",E385/H385)</f>
        <v/>
      </c>
    </row>
    <row r="386">
      <c r="A386" s="24" t="n"/>
      <c r="B386" s="23" t="n"/>
      <c r="C386" s="23" t="n"/>
      <c r="D386" s="23" t="n"/>
      <c r="E386" s="17" t="n"/>
      <c r="F386" s="23" t="n"/>
      <c r="G386" s="23" t="n"/>
      <c r="H386" s="25">
        <f>IF(B386="","",IF(TRIM(G386&amp;"")="",1,LEN(G386)-LEN(SUBSTITUTE(G386,",",""))+2))</f>
        <v/>
      </c>
      <c r="I386" s="26">
        <f>IF(OR(B386="",E386="",H386=""),"",E386/H386)</f>
        <v/>
      </c>
    </row>
    <row r="387">
      <c r="A387" s="24" t="n"/>
      <c r="B387" s="23" t="n"/>
      <c r="C387" s="23" t="n"/>
      <c r="D387" s="23" t="n"/>
      <c r="E387" s="17" t="n"/>
      <c r="F387" s="23" t="n"/>
      <c r="G387" s="23" t="n"/>
      <c r="H387" s="25">
        <f>IF(B387="","",IF(TRIM(G387&amp;"")="",1,LEN(G387)-LEN(SUBSTITUTE(G387,",",""))+2))</f>
        <v/>
      </c>
      <c r="I387" s="26">
        <f>IF(OR(B387="",E387="",H387=""),"",E387/H387)</f>
        <v/>
      </c>
    </row>
    <row r="388">
      <c r="A388" s="24" t="n"/>
      <c r="B388" s="23" t="n"/>
      <c r="C388" s="23" t="n"/>
      <c r="D388" s="23" t="n"/>
      <c r="E388" s="17" t="n"/>
      <c r="F388" s="23" t="n"/>
      <c r="G388" s="23" t="n"/>
      <c r="H388" s="25">
        <f>IF(B388="","",IF(TRIM(G388&amp;"")="",1,LEN(G388)-LEN(SUBSTITUTE(G388,",",""))+2))</f>
        <v/>
      </c>
      <c r="I388" s="26">
        <f>IF(OR(B388="",E388="",H388=""),"",E388/H388)</f>
        <v/>
      </c>
    </row>
    <row r="389">
      <c r="A389" s="24" t="n"/>
      <c r="B389" s="23" t="n"/>
      <c r="C389" s="23" t="n"/>
      <c r="D389" s="23" t="n"/>
      <c r="E389" s="17" t="n"/>
      <c r="F389" s="23" t="n"/>
      <c r="G389" s="23" t="n"/>
      <c r="H389" s="25">
        <f>IF(B389="","",IF(TRIM(G389&amp;"")="",1,LEN(G389)-LEN(SUBSTITUTE(G389,",",""))+2))</f>
        <v/>
      </c>
      <c r="I389" s="26">
        <f>IF(OR(B389="",E389="",H389=""),"",E389/H389)</f>
        <v/>
      </c>
    </row>
    <row r="390">
      <c r="A390" s="24" t="n"/>
      <c r="B390" s="23" t="n"/>
      <c r="C390" s="23" t="n"/>
      <c r="D390" s="23" t="n"/>
      <c r="E390" s="17" t="n"/>
      <c r="F390" s="23" t="n"/>
      <c r="G390" s="23" t="n"/>
      <c r="H390" s="25">
        <f>IF(B390="","",IF(TRIM(G390&amp;"")="",1,LEN(G390)-LEN(SUBSTITUTE(G390,",",""))+2))</f>
        <v/>
      </c>
      <c r="I390" s="26">
        <f>IF(OR(B390="",E390="",H390=""),"",E390/H390)</f>
        <v/>
      </c>
    </row>
    <row r="391">
      <c r="A391" s="24" t="n"/>
      <c r="B391" s="23" t="n"/>
      <c r="C391" s="23" t="n"/>
      <c r="D391" s="23" t="n"/>
      <c r="E391" s="17" t="n"/>
      <c r="F391" s="23" t="n"/>
      <c r="G391" s="23" t="n"/>
      <c r="H391" s="25">
        <f>IF(B391="","",IF(TRIM(G391&amp;"")="",1,LEN(G391)-LEN(SUBSTITUTE(G391,",",""))+2))</f>
        <v/>
      </c>
      <c r="I391" s="26">
        <f>IF(OR(B391="",E391="",H391=""),"",E391/H391)</f>
        <v/>
      </c>
    </row>
    <row r="392">
      <c r="A392" s="24" t="n"/>
      <c r="B392" s="23" t="n"/>
      <c r="C392" s="23" t="n"/>
      <c r="D392" s="23" t="n"/>
      <c r="E392" s="17" t="n"/>
      <c r="F392" s="23" t="n"/>
      <c r="G392" s="23" t="n"/>
      <c r="H392" s="25">
        <f>IF(B392="","",IF(TRIM(G392&amp;"")="",1,LEN(G392)-LEN(SUBSTITUTE(G392,",",""))+2))</f>
        <v/>
      </c>
      <c r="I392" s="26">
        <f>IF(OR(B392="",E392="",H392=""),"",E392/H392)</f>
        <v/>
      </c>
    </row>
    <row r="393">
      <c r="A393" s="24" t="n"/>
      <c r="B393" s="23" t="n"/>
      <c r="C393" s="23" t="n"/>
      <c r="D393" s="23" t="n"/>
      <c r="E393" s="17" t="n"/>
      <c r="F393" s="23" t="n"/>
      <c r="G393" s="23" t="n"/>
      <c r="H393" s="25">
        <f>IF(B393="","",IF(TRIM(G393&amp;"")="",1,LEN(G393)-LEN(SUBSTITUTE(G393,",",""))+2))</f>
        <v/>
      </c>
      <c r="I393" s="26">
        <f>IF(OR(B393="",E393="",H393=""),"",E393/H393)</f>
        <v/>
      </c>
    </row>
    <row r="394">
      <c r="A394" s="24" t="n"/>
      <c r="B394" s="23" t="n"/>
      <c r="C394" s="23" t="n"/>
      <c r="D394" s="23" t="n"/>
      <c r="E394" s="17" t="n"/>
      <c r="F394" s="23" t="n"/>
      <c r="G394" s="23" t="n"/>
      <c r="H394" s="25">
        <f>IF(B394="","",IF(TRIM(G394&amp;"")="",1,LEN(G394)-LEN(SUBSTITUTE(G394,",",""))+2))</f>
        <v/>
      </c>
      <c r="I394" s="26">
        <f>IF(OR(B394="",E394="",H394=""),"",E394/H394)</f>
        <v/>
      </c>
    </row>
    <row r="395">
      <c r="A395" s="24" t="n"/>
      <c r="B395" s="23" t="n"/>
      <c r="C395" s="23" t="n"/>
      <c r="D395" s="23" t="n"/>
      <c r="E395" s="17" t="n"/>
      <c r="F395" s="23" t="n"/>
      <c r="G395" s="23" t="n"/>
      <c r="H395" s="25">
        <f>IF(B395="","",IF(TRIM(G395&amp;"")="",1,LEN(G395)-LEN(SUBSTITUTE(G395,",",""))+2))</f>
        <v/>
      </c>
      <c r="I395" s="26">
        <f>IF(OR(B395="",E395="",H395=""),"",E395/H395)</f>
        <v/>
      </c>
    </row>
    <row r="396">
      <c r="A396" s="24" t="n"/>
      <c r="B396" s="23" t="n"/>
      <c r="C396" s="23" t="n"/>
      <c r="D396" s="23" t="n"/>
      <c r="E396" s="17" t="n"/>
      <c r="F396" s="23" t="n"/>
      <c r="G396" s="23" t="n"/>
      <c r="H396" s="25">
        <f>IF(B396="","",IF(TRIM(G396&amp;"")="",1,LEN(G396)-LEN(SUBSTITUTE(G396,",",""))+2))</f>
        <v/>
      </c>
      <c r="I396" s="26">
        <f>IF(OR(B396="",E396="",H396=""),"",E396/H396)</f>
        <v/>
      </c>
    </row>
    <row r="397">
      <c r="A397" s="24" t="n"/>
      <c r="B397" s="23" t="n"/>
      <c r="C397" s="23" t="n"/>
      <c r="D397" s="23" t="n"/>
      <c r="E397" s="17" t="n"/>
      <c r="F397" s="23" t="n"/>
      <c r="G397" s="23" t="n"/>
      <c r="H397" s="25">
        <f>IF(B397="","",IF(TRIM(G397&amp;"")="",1,LEN(G397)-LEN(SUBSTITUTE(G397,",",""))+2))</f>
        <v/>
      </c>
      <c r="I397" s="26">
        <f>IF(OR(B397="",E397="",H397=""),"",E397/H397)</f>
        <v/>
      </c>
    </row>
    <row r="398">
      <c r="A398" s="24" t="n"/>
      <c r="B398" s="23" t="n"/>
      <c r="C398" s="23" t="n"/>
      <c r="D398" s="23" t="n"/>
      <c r="E398" s="17" t="n"/>
      <c r="F398" s="23" t="n"/>
      <c r="G398" s="23" t="n"/>
      <c r="H398" s="25">
        <f>IF(B398="","",IF(TRIM(G398&amp;"")="",1,LEN(G398)-LEN(SUBSTITUTE(G398,",",""))+2))</f>
        <v/>
      </c>
      <c r="I398" s="26">
        <f>IF(OR(B398="",E398="",H398=""),"",E398/H398)</f>
        <v/>
      </c>
    </row>
    <row r="399">
      <c r="A399" s="24" t="n"/>
      <c r="B399" s="23" t="n"/>
      <c r="C399" s="23" t="n"/>
      <c r="D399" s="23" t="n"/>
      <c r="E399" s="17" t="n"/>
      <c r="F399" s="23" t="n"/>
      <c r="G399" s="23" t="n"/>
      <c r="H399" s="25">
        <f>IF(B399="","",IF(TRIM(G399&amp;"")="",1,LEN(G399)-LEN(SUBSTITUTE(G399,",",""))+2))</f>
        <v/>
      </c>
      <c r="I399" s="26">
        <f>IF(OR(B399="",E399="",H399=""),"",E399/H399)</f>
        <v/>
      </c>
    </row>
    <row r="400">
      <c r="A400" s="24" t="n"/>
      <c r="B400" s="23" t="n"/>
      <c r="C400" s="23" t="n"/>
      <c r="D400" s="23" t="n"/>
      <c r="E400" s="17" t="n"/>
      <c r="F400" s="23" t="n"/>
      <c r="G400" s="23" t="n"/>
      <c r="H400" s="25">
        <f>IF(B400="","",IF(TRIM(G400&amp;"")="",1,LEN(G400)-LEN(SUBSTITUTE(G400,",",""))+2))</f>
        <v/>
      </c>
      <c r="I400" s="26">
        <f>IF(OR(B400="",E400="",H400=""),"",E400/H400)</f>
        <v/>
      </c>
    </row>
    <row r="401">
      <c r="A401" s="24" t="n"/>
      <c r="B401" s="23" t="n"/>
      <c r="C401" s="23" t="n"/>
      <c r="D401" s="23" t="n"/>
      <c r="E401" s="17" t="n"/>
      <c r="F401" s="23" t="n"/>
      <c r="G401" s="23" t="n"/>
      <c r="H401" s="25">
        <f>IF(B401="","",IF(TRIM(G401&amp;"")="",1,LEN(G401)-LEN(SUBSTITUTE(G401,",",""))+2))</f>
        <v/>
      </c>
      <c r="I401" s="26">
        <f>IF(OR(B401="",E401="",H401=""),"",E401/H401)</f>
        <v/>
      </c>
    </row>
    <row r="402">
      <c r="A402" s="24" t="n"/>
      <c r="B402" s="23" t="n"/>
      <c r="C402" s="23" t="n"/>
      <c r="D402" s="23" t="n"/>
      <c r="E402" s="17" t="n"/>
      <c r="F402" s="23" t="n"/>
      <c r="G402" s="23" t="n"/>
      <c r="H402" s="25">
        <f>IF(B402="","",IF(TRIM(G402&amp;"")="",1,LEN(G402)-LEN(SUBSTITUTE(G402,",",""))+2))</f>
        <v/>
      </c>
      <c r="I402" s="26">
        <f>IF(OR(B402="",E402="",H402=""),"",E402/H402)</f>
        <v/>
      </c>
    </row>
    <row r="403">
      <c r="A403" s="24" t="n"/>
      <c r="B403" s="23" t="n"/>
      <c r="C403" s="23" t="n"/>
      <c r="D403" s="23" t="n"/>
      <c r="E403" s="17" t="n"/>
      <c r="F403" s="23" t="n"/>
      <c r="G403" s="23" t="n"/>
      <c r="H403" s="25">
        <f>IF(B403="","",IF(TRIM(G403&amp;"")="",1,LEN(G403)-LEN(SUBSTITUTE(G403,",",""))+2))</f>
        <v/>
      </c>
      <c r="I403" s="26">
        <f>IF(OR(B403="",E403="",H403=""),"",E403/H403)</f>
        <v/>
      </c>
    </row>
    <row r="404">
      <c r="A404" s="24" t="n"/>
      <c r="B404" s="23" t="n"/>
      <c r="C404" s="23" t="n"/>
      <c r="D404" s="23" t="n"/>
      <c r="E404" s="17" t="n"/>
      <c r="F404" s="23" t="n"/>
      <c r="G404" s="23" t="n"/>
      <c r="H404" s="25">
        <f>IF(B404="","",IF(TRIM(G404&amp;"")="",1,LEN(G404)-LEN(SUBSTITUTE(G404,",",""))+2))</f>
        <v/>
      </c>
      <c r="I404" s="26">
        <f>IF(OR(B404="",E404="",H404=""),"",E404/H404)</f>
        <v/>
      </c>
    </row>
    <row r="405">
      <c r="A405" s="24" t="n"/>
      <c r="B405" s="23" t="n"/>
      <c r="C405" s="23" t="n"/>
      <c r="D405" s="23" t="n"/>
      <c r="E405" s="17" t="n"/>
      <c r="F405" s="23" t="n"/>
      <c r="G405" s="23" t="n"/>
      <c r="H405" s="25">
        <f>IF(B405="","",IF(TRIM(G405&amp;"")="",1,LEN(G405)-LEN(SUBSTITUTE(G405,",",""))+2))</f>
        <v/>
      </c>
      <c r="I405" s="26">
        <f>IF(OR(B405="",E405="",H405=""),"",E405/H405)</f>
        <v/>
      </c>
    </row>
    <row r="406">
      <c r="A406" s="24" t="n"/>
      <c r="B406" s="23" t="n"/>
      <c r="C406" s="23" t="n"/>
      <c r="D406" s="23" t="n"/>
      <c r="E406" s="17" t="n"/>
      <c r="F406" s="23" t="n"/>
      <c r="G406" s="23" t="n"/>
      <c r="H406" s="25">
        <f>IF(B406="","",IF(TRIM(G406&amp;"")="",1,LEN(G406)-LEN(SUBSTITUTE(G406,",",""))+2))</f>
        <v/>
      </c>
      <c r="I406" s="26">
        <f>IF(OR(B406="",E406="",H406=""),"",E406/H406)</f>
        <v/>
      </c>
    </row>
    <row r="407">
      <c r="A407" s="24" t="n"/>
      <c r="B407" s="23" t="n"/>
      <c r="C407" s="23" t="n"/>
      <c r="D407" s="23" t="n"/>
      <c r="E407" s="17" t="n"/>
      <c r="F407" s="23" t="n"/>
      <c r="G407" s="23" t="n"/>
      <c r="H407" s="25">
        <f>IF(B407="","",IF(TRIM(G407&amp;"")="",1,LEN(G407)-LEN(SUBSTITUTE(G407,",",""))+2))</f>
        <v/>
      </c>
      <c r="I407" s="26">
        <f>IF(OR(B407="",E407="",H407=""),"",E407/H407)</f>
        <v/>
      </c>
    </row>
    <row r="408">
      <c r="A408" s="24" t="n"/>
      <c r="B408" s="23" t="n"/>
      <c r="C408" s="23" t="n"/>
      <c r="D408" s="23" t="n"/>
      <c r="E408" s="17" t="n"/>
      <c r="F408" s="23" t="n"/>
      <c r="G408" s="23" t="n"/>
      <c r="H408" s="25">
        <f>IF(B408="","",IF(TRIM(G408&amp;"")="",1,LEN(G408)-LEN(SUBSTITUTE(G408,",",""))+2))</f>
        <v/>
      </c>
      <c r="I408" s="26">
        <f>IF(OR(B408="",E408="",H408=""),"",E408/H408)</f>
        <v/>
      </c>
    </row>
    <row r="409">
      <c r="A409" s="24" t="n"/>
      <c r="B409" s="23" t="n"/>
      <c r="C409" s="23" t="n"/>
      <c r="D409" s="23" t="n"/>
      <c r="E409" s="17" t="n"/>
      <c r="F409" s="23" t="n"/>
      <c r="G409" s="23" t="n"/>
      <c r="H409" s="25">
        <f>IF(B409="","",IF(TRIM(G409&amp;"")="",1,LEN(G409)-LEN(SUBSTITUTE(G409,",",""))+2))</f>
        <v/>
      </c>
      <c r="I409" s="26">
        <f>IF(OR(B409="",E409="",H409=""),"",E409/H409)</f>
        <v/>
      </c>
    </row>
    <row r="410">
      <c r="A410" s="24" t="n"/>
      <c r="B410" s="23" t="n"/>
      <c r="C410" s="23" t="n"/>
      <c r="D410" s="23" t="n"/>
      <c r="E410" s="17" t="n"/>
      <c r="F410" s="23" t="n"/>
      <c r="G410" s="23" t="n"/>
      <c r="H410" s="25">
        <f>IF(B410="","",IF(TRIM(G410&amp;"")="",1,LEN(G410)-LEN(SUBSTITUTE(G410,",",""))+2))</f>
        <v/>
      </c>
      <c r="I410" s="26">
        <f>IF(OR(B410="",E410="",H410=""),"",E410/H410)</f>
        <v/>
      </c>
    </row>
    <row r="411">
      <c r="A411" s="24" t="n"/>
      <c r="B411" s="23" t="n"/>
      <c r="C411" s="23" t="n"/>
      <c r="D411" s="23" t="n"/>
      <c r="E411" s="17" t="n"/>
      <c r="F411" s="23" t="n"/>
      <c r="G411" s="23" t="n"/>
      <c r="H411" s="25">
        <f>IF(B411="","",IF(TRIM(G411&amp;"")="",1,LEN(G411)-LEN(SUBSTITUTE(G411,",",""))+2))</f>
        <v/>
      </c>
      <c r="I411" s="26">
        <f>IF(OR(B411="",E411="",H411=""),"",E411/H411)</f>
        <v/>
      </c>
    </row>
    <row r="412">
      <c r="A412" s="24" t="n"/>
      <c r="B412" s="23" t="n"/>
      <c r="C412" s="23" t="n"/>
      <c r="D412" s="23" t="n"/>
      <c r="E412" s="17" t="n"/>
      <c r="F412" s="23" t="n"/>
      <c r="G412" s="23" t="n"/>
      <c r="H412" s="25">
        <f>IF(B412="","",IF(TRIM(G412&amp;"")="",1,LEN(G412)-LEN(SUBSTITUTE(G412,",",""))+2))</f>
        <v/>
      </c>
      <c r="I412" s="26">
        <f>IF(OR(B412="",E412="",H412=""),"",E412/H412)</f>
        <v/>
      </c>
    </row>
    <row r="413">
      <c r="A413" s="24" t="n"/>
      <c r="B413" s="23" t="n"/>
      <c r="C413" s="23" t="n"/>
      <c r="D413" s="23" t="n"/>
      <c r="E413" s="17" t="n"/>
      <c r="F413" s="23" t="n"/>
      <c r="G413" s="23" t="n"/>
      <c r="H413" s="25">
        <f>IF(B413="","",IF(TRIM(G413&amp;"")="",1,LEN(G413)-LEN(SUBSTITUTE(G413,",",""))+2))</f>
        <v/>
      </c>
      <c r="I413" s="26">
        <f>IF(OR(B413="",E413="",H413=""),"",E413/H413)</f>
        <v/>
      </c>
    </row>
    <row r="414">
      <c r="A414" s="24" t="n"/>
      <c r="B414" s="23" t="n"/>
      <c r="C414" s="23" t="n"/>
      <c r="D414" s="23" t="n"/>
      <c r="E414" s="17" t="n"/>
      <c r="F414" s="23" t="n"/>
      <c r="G414" s="23" t="n"/>
      <c r="H414" s="25">
        <f>IF(B414="","",IF(TRIM(G414&amp;"")="",1,LEN(G414)-LEN(SUBSTITUTE(G414,",",""))+2))</f>
        <v/>
      </c>
      <c r="I414" s="26">
        <f>IF(OR(B414="",E414="",H414=""),"",E414/H414)</f>
        <v/>
      </c>
    </row>
    <row r="415">
      <c r="A415" s="24" t="n"/>
      <c r="B415" s="23" t="n"/>
      <c r="C415" s="23" t="n"/>
      <c r="D415" s="23" t="n"/>
      <c r="E415" s="17" t="n"/>
      <c r="F415" s="23" t="n"/>
      <c r="G415" s="23" t="n"/>
      <c r="H415" s="25">
        <f>IF(B415="","",IF(TRIM(G415&amp;"")="",1,LEN(G415)-LEN(SUBSTITUTE(G415,",",""))+2))</f>
        <v/>
      </c>
      <c r="I415" s="26">
        <f>IF(OR(B415="",E415="",H415=""),"",E415/H415)</f>
        <v/>
      </c>
    </row>
    <row r="416">
      <c r="A416" s="24" t="n"/>
      <c r="B416" s="23" t="n"/>
      <c r="C416" s="23" t="n"/>
      <c r="D416" s="23" t="n"/>
      <c r="E416" s="17" t="n"/>
      <c r="F416" s="23" t="n"/>
      <c r="G416" s="23" t="n"/>
      <c r="H416" s="25">
        <f>IF(B416="","",IF(TRIM(G416&amp;"")="",1,LEN(G416)-LEN(SUBSTITUTE(G416,",",""))+2))</f>
        <v/>
      </c>
      <c r="I416" s="26">
        <f>IF(OR(B416="",E416="",H416=""),"",E416/H416)</f>
        <v/>
      </c>
    </row>
    <row r="417">
      <c r="A417" s="24" t="n"/>
      <c r="B417" s="23" t="n"/>
      <c r="C417" s="23" t="n"/>
      <c r="D417" s="23" t="n"/>
      <c r="E417" s="17" t="n"/>
      <c r="F417" s="23" t="n"/>
      <c r="G417" s="23" t="n"/>
      <c r="H417" s="25">
        <f>IF(B417="","",IF(TRIM(G417&amp;"")="",1,LEN(G417)-LEN(SUBSTITUTE(G417,",",""))+2))</f>
        <v/>
      </c>
      <c r="I417" s="26">
        <f>IF(OR(B417="",E417="",H417=""),"",E417/H417)</f>
        <v/>
      </c>
    </row>
    <row r="418">
      <c r="A418" s="24" t="n"/>
      <c r="B418" s="23" t="n"/>
      <c r="C418" s="23" t="n"/>
      <c r="D418" s="23" t="n"/>
      <c r="E418" s="17" t="n"/>
      <c r="F418" s="23" t="n"/>
      <c r="G418" s="23" t="n"/>
      <c r="H418" s="25">
        <f>IF(B418="","",IF(TRIM(G418&amp;"")="",1,LEN(G418)-LEN(SUBSTITUTE(G418,",",""))+2))</f>
        <v/>
      </c>
      <c r="I418" s="26">
        <f>IF(OR(B418="",E418="",H418=""),"",E418/H418)</f>
        <v/>
      </c>
    </row>
    <row r="419">
      <c r="A419" s="24" t="n"/>
      <c r="B419" s="23" t="n"/>
      <c r="C419" s="23" t="n"/>
      <c r="D419" s="23" t="n"/>
      <c r="E419" s="17" t="n"/>
      <c r="F419" s="23" t="n"/>
      <c r="G419" s="23" t="n"/>
      <c r="H419" s="25">
        <f>IF(B419="","",IF(TRIM(G419&amp;"")="",1,LEN(G419)-LEN(SUBSTITUTE(G419,",",""))+2))</f>
        <v/>
      </c>
      <c r="I419" s="26">
        <f>IF(OR(B419="",E419="",H419=""),"",E419/H419)</f>
        <v/>
      </c>
    </row>
    <row r="420">
      <c r="A420" s="24" t="n"/>
      <c r="B420" s="23" t="n"/>
      <c r="C420" s="23" t="n"/>
      <c r="D420" s="23" t="n"/>
      <c r="E420" s="17" t="n"/>
      <c r="F420" s="23" t="n"/>
      <c r="G420" s="23" t="n"/>
      <c r="H420" s="25">
        <f>IF(B420="","",IF(TRIM(G420&amp;"")="",1,LEN(G420)-LEN(SUBSTITUTE(G420,",",""))+2))</f>
        <v/>
      </c>
      <c r="I420" s="26">
        <f>IF(OR(B420="",E420="",H420=""),"",E420/H420)</f>
        <v/>
      </c>
    </row>
    <row r="421">
      <c r="A421" s="24" t="n"/>
      <c r="B421" s="23" t="n"/>
      <c r="C421" s="23" t="n"/>
      <c r="D421" s="23" t="n"/>
      <c r="E421" s="17" t="n"/>
      <c r="F421" s="23" t="n"/>
      <c r="G421" s="23" t="n"/>
      <c r="H421" s="25">
        <f>IF(B421="","",IF(TRIM(G421&amp;"")="",1,LEN(G421)-LEN(SUBSTITUTE(G421,",",""))+2))</f>
        <v/>
      </c>
      <c r="I421" s="26">
        <f>IF(OR(B421="",E421="",H421=""),"",E421/H421)</f>
        <v/>
      </c>
    </row>
    <row r="422">
      <c r="A422" s="24" t="n"/>
      <c r="B422" s="23" t="n"/>
      <c r="C422" s="23" t="n"/>
      <c r="D422" s="23" t="n"/>
      <c r="E422" s="17" t="n"/>
      <c r="F422" s="23" t="n"/>
      <c r="G422" s="23" t="n"/>
      <c r="H422" s="25">
        <f>IF(B422="","",IF(TRIM(G422&amp;"")="",1,LEN(G422)-LEN(SUBSTITUTE(G422,",",""))+2))</f>
        <v/>
      </c>
      <c r="I422" s="26">
        <f>IF(OR(B422="",E422="",H422=""),"",E422/H422)</f>
        <v/>
      </c>
    </row>
    <row r="423">
      <c r="A423" s="24" t="n"/>
      <c r="B423" s="23" t="n"/>
      <c r="C423" s="23" t="n"/>
      <c r="D423" s="23" t="n"/>
      <c r="E423" s="17" t="n"/>
      <c r="F423" s="23" t="n"/>
      <c r="G423" s="23" t="n"/>
      <c r="H423" s="25">
        <f>IF(B423="","",IF(TRIM(G423&amp;"")="",1,LEN(G423)-LEN(SUBSTITUTE(G423,",",""))+2))</f>
        <v/>
      </c>
      <c r="I423" s="26">
        <f>IF(OR(B423="",E423="",H423=""),"",E423/H423)</f>
        <v/>
      </c>
    </row>
    <row r="424">
      <c r="A424" s="24" t="n"/>
      <c r="B424" s="23" t="n"/>
      <c r="C424" s="23" t="n"/>
      <c r="D424" s="23" t="n"/>
      <c r="E424" s="17" t="n"/>
      <c r="F424" s="23" t="n"/>
      <c r="G424" s="23" t="n"/>
      <c r="H424" s="25">
        <f>IF(B424="","",IF(TRIM(G424&amp;"")="",1,LEN(G424)-LEN(SUBSTITUTE(G424,",",""))+2))</f>
        <v/>
      </c>
      <c r="I424" s="26">
        <f>IF(OR(B424="",E424="",H424=""),"",E424/H424)</f>
        <v/>
      </c>
    </row>
    <row r="425">
      <c r="A425" s="24" t="n"/>
      <c r="B425" s="23" t="n"/>
      <c r="C425" s="23" t="n"/>
      <c r="D425" s="23" t="n"/>
      <c r="E425" s="17" t="n"/>
      <c r="F425" s="23" t="n"/>
      <c r="G425" s="23" t="n"/>
      <c r="H425" s="25">
        <f>IF(B425="","",IF(TRIM(G425&amp;"")="",1,LEN(G425)-LEN(SUBSTITUTE(G425,",",""))+2))</f>
        <v/>
      </c>
      <c r="I425" s="26">
        <f>IF(OR(B425="",E425="",H425=""),"",E425/H425)</f>
        <v/>
      </c>
    </row>
    <row r="426">
      <c r="A426" s="24" t="n"/>
      <c r="B426" s="23" t="n"/>
      <c r="C426" s="23" t="n"/>
      <c r="D426" s="23" t="n"/>
      <c r="E426" s="17" t="n"/>
      <c r="F426" s="23" t="n"/>
      <c r="G426" s="23" t="n"/>
      <c r="H426" s="25">
        <f>IF(B426="","",IF(TRIM(G426&amp;"")="",1,LEN(G426)-LEN(SUBSTITUTE(G426,",",""))+2))</f>
        <v/>
      </c>
      <c r="I426" s="26">
        <f>IF(OR(B426="",E426="",H426=""),"",E426/H426)</f>
        <v/>
      </c>
    </row>
    <row r="427">
      <c r="A427" s="24" t="n"/>
      <c r="B427" s="23" t="n"/>
      <c r="C427" s="23" t="n"/>
      <c r="D427" s="23" t="n"/>
      <c r="E427" s="17" t="n"/>
      <c r="F427" s="23" t="n"/>
      <c r="G427" s="23" t="n"/>
      <c r="H427" s="25">
        <f>IF(B427="","",IF(TRIM(G427&amp;"")="",1,LEN(G427)-LEN(SUBSTITUTE(G427,",",""))+2))</f>
        <v/>
      </c>
      <c r="I427" s="26">
        <f>IF(OR(B427="",E427="",H427=""),"",E427/H427)</f>
        <v/>
      </c>
    </row>
    <row r="428">
      <c r="A428" s="24" t="n"/>
      <c r="B428" s="23" t="n"/>
      <c r="C428" s="23" t="n"/>
      <c r="D428" s="23" t="n"/>
      <c r="E428" s="17" t="n"/>
      <c r="F428" s="23" t="n"/>
      <c r="G428" s="23" t="n"/>
      <c r="H428" s="25">
        <f>IF(B428="","",IF(TRIM(G428&amp;"")="",1,LEN(G428)-LEN(SUBSTITUTE(G428,",",""))+2))</f>
        <v/>
      </c>
      <c r="I428" s="26">
        <f>IF(OR(B428="",E428="",H428=""),"",E428/H428)</f>
        <v/>
      </c>
    </row>
    <row r="429">
      <c r="A429" s="24" t="n"/>
      <c r="B429" s="23" t="n"/>
      <c r="C429" s="23" t="n"/>
      <c r="D429" s="23" t="n"/>
      <c r="E429" s="17" t="n"/>
      <c r="F429" s="23" t="n"/>
      <c r="G429" s="23" t="n"/>
      <c r="H429" s="25">
        <f>IF(B429="","",IF(TRIM(G429&amp;"")="",1,LEN(G429)-LEN(SUBSTITUTE(G429,",",""))+2))</f>
        <v/>
      </c>
      <c r="I429" s="26">
        <f>IF(OR(B429="",E429="",H429=""),"",E429/H429)</f>
        <v/>
      </c>
    </row>
    <row r="430">
      <c r="A430" s="24" t="n"/>
      <c r="B430" s="23" t="n"/>
      <c r="C430" s="23" t="n"/>
      <c r="D430" s="23" t="n"/>
      <c r="E430" s="17" t="n"/>
      <c r="F430" s="23" t="n"/>
      <c r="G430" s="23" t="n"/>
      <c r="H430" s="25">
        <f>IF(B430="","",IF(TRIM(G430&amp;"")="",1,LEN(G430)-LEN(SUBSTITUTE(G430,",",""))+2))</f>
        <v/>
      </c>
      <c r="I430" s="26">
        <f>IF(OR(B430="",E430="",H430=""),"",E430/H430)</f>
        <v/>
      </c>
    </row>
    <row r="431">
      <c r="A431" s="24" t="n"/>
      <c r="B431" s="23" t="n"/>
      <c r="C431" s="23" t="n"/>
      <c r="D431" s="23" t="n"/>
      <c r="E431" s="17" t="n"/>
      <c r="F431" s="23" t="n"/>
      <c r="G431" s="23" t="n"/>
      <c r="H431" s="25">
        <f>IF(B431="","",IF(TRIM(G431&amp;"")="",1,LEN(G431)-LEN(SUBSTITUTE(G431,",",""))+2))</f>
        <v/>
      </c>
      <c r="I431" s="26">
        <f>IF(OR(B431="",E431="",H431=""),"",E431/H431)</f>
        <v/>
      </c>
    </row>
    <row r="432">
      <c r="A432" s="24" t="n"/>
      <c r="B432" s="23" t="n"/>
      <c r="C432" s="23" t="n"/>
      <c r="D432" s="23" t="n"/>
      <c r="E432" s="17" t="n"/>
      <c r="F432" s="23" t="n"/>
      <c r="G432" s="23" t="n"/>
      <c r="H432" s="25">
        <f>IF(B432="","",IF(TRIM(G432&amp;"")="",1,LEN(G432)-LEN(SUBSTITUTE(G432,",",""))+2))</f>
        <v/>
      </c>
      <c r="I432" s="26">
        <f>IF(OR(B432="",E432="",H432=""),"",E432/H432)</f>
        <v/>
      </c>
    </row>
    <row r="433">
      <c r="A433" s="24" t="n"/>
      <c r="B433" s="23" t="n"/>
      <c r="C433" s="23" t="n"/>
      <c r="D433" s="23" t="n"/>
      <c r="E433" s="17" t="n"/>
      <c r="F433" s="23" t="n"/>
      <c r="G433" s="23" t="n"/>
      <c r="H433" s="25">
        <f>IF(B433="","",IF(TRIM(G433&amp;"")="",1,LEN(G433)-LEN(SUBSTITUTE(G433,",",""))+2))</f>
        <v/>
      </c>
      <c r="I433" s="26">
        <f>IF(OR(B433="",E433="",H433=""),"",E433/H433)</f>
        <v/>
      </c>
    </row>
    <row r="434">
      <c r="A434" s="24" t="n"/>
      <c r="B434" s="23" t="n"/>
      <c r="C434" s="23" t="n"/>
      <c r="D434" s="23" t="n"/>
      <c r="E434" s="17" t="n"/>
      <c r="F434" s="23" t="n"/>
      <c r="G434" s="23" t="n"/>
      <c r="H434" s="25">
        <f>IF(B434="","",IF(TRIM(G434&amp;"")="",1,LEN(G434)-LEN(SUBSTITUTE(G434,",",""))+2))</f>
        <v/>
      </c>
      <c r="I434" s="26">
        <f>IF(OR(B434="",E434="",H434=""),"",E434/H434)</f>
        <v/>
      </c>
    </row>
    <row r="435">
      <c r="A435" s="24" t="n"/>
      <c r="B435" s="23" t="n"/>
      <c r="C435" s="23" t="n"/>
      <c r="D435" s="23" t="n"/>
      <c r="E435" s="17" t="n"/>
      <c r="F435" s="23" t="n"/>
      <c r="G435" s="23" t="n"/>
      <c r="H435" s="25">
        <f>IF(B435="","",IF(TRIM(G435&amp;"")="",1,LEN(G435)-LEN(SUBSTITUTE(G435,",",""))+2))</f>
        <v/>
      </c>
      <c r="I435" s="26">
        <f>IF(OR(B435="",E435="",H435=""),"",E435/H435)</f>
        <v/>
      </c>
    </row>
    <row r="436">
      <c r="A436" s="24" t="n"/>
      <c r="B436" s="23" t="n"/>
      <c r="C436" s="23" t="n"/>
      <c r="D436" s="23" t="n"/>
      <c r="E436" s="17" t="n"/>
      <c r="F436" s="23" t="n"/>
      <c r="G436" s="23" t="n"/>
      <c r="H436" s="25">
        <f>IF(B436="","",IF(TRIM(G436&amp;"")="",1,LEN(G436)-LEN(SUBSTITUTE(G436,",",""))+2))</f>
        <v/>
      </c>
      <c r="I436" s="26">
        <f>IF(OR(B436="",E436="",H436=""),"",E436/H436)</f>
        <v/>
      </c>
    </row>
    <row r="437">
      <c r="A437" s="24" t="n"/>
      <c r="B437" s="23" t="n"/>
      <c r="C437" s="23" t="n"/>
      <c r="D437" s="23" t="n"/>
      <c r="E437" s="17" t="n"/>
      <c r="F437" s="23" t="n"/>
      <c r="G437" s="23" t="n"/>
      <c r="H437" s="25">
        <f>IF(B437="","",IF(TRIM(G437&amp;"")="",1,LEN(G437)-LEN(SUBSTITUTE(G437,",",""))+2))</f>
        <v/>
      </c>
      <c r="I437" s="26">
        <f>IF(OR(B437="",E437="",H437=""),"",E437/H437)</f>
        <v/>
      </c>
    </row>
    <row r="438">
      <c r="A438" s="24" t="n"/>
      <c r="B438" s="23" t="n"/>
      <c r="C438" s="23" t="n"/>
      <c r="D438" s="23" t="n"/>
      <c r="E438" s="17" t="n"/>
      <c r="F438" s="23" t="n"/>
      <c r="G438" s="23" t="n"/>
      <c r="H438" s="25">
        <f>IF(B438="","",IF(TRIM(G438&amp;"")="",1,LEN(G438)-LEN(SUBSTITUTE(G438,",",""))+2))</f>
        <v/>
      </c>
      <c r="I438" s="26">
        <f>IF(OR(B438="",E438="",H438=""),"",E438/H438)</f>
        <v/>
      </c>
    </row>
    <row r="439">
      <c r="A439" s="24" t="n"/>
      <c r="B439" s="23" t="n"/>
      <c r="C439" s="23" t="n"/>
      <c r="D439" s="23" t="n"/>
      <c r="E439" s="17" t="n"/>
      <c r="F439" s="23" t="n"/>
      <c r="G439" s="23" t="n"/>
      <c r="H439" s="25">
        <f>IF(B439="","",IF(TRIM(G439&amp;"")="",1,LEN(G439)-LEN(SUBSTITUTE(G439,",",""))+2))</f>
        <v/>
      </c>
      <c r="I439" s="26">
        <f>IF(OR(B439="",E439="",H439=""),"",E439/H439)</f>
        <v/>
      </c>
    </row>
    <row r="440">
      <c r="A440" s="24" t="n"/>
      <c r="B440" s="23" t="n"/>
      <c r="C440" s="23" t="n"/>
      <c r="D440" s="23" t="n"/>
      <c r="E440" s="17" t="n"/>
      <c r="F440" s="23" t="n"/>
      <c r="G440" s="23" t="n"/>
      <c r="H440" s="25">
        <f>IF(B440="","",IF(TRIM(G440&amp;"")="",1,LEN(G440)-LEN(SUBSTITUTE(G440,",",""))+2))</f>
        <v/>
      </c>
      <c r="I440" s="26">
        <f>IF(OR(B440="",E440="",H440=""),"",E440/H440)</f>
        <v/>
      </c>
    </row>
    <row r="441">
      <c r="A441" s="24" t="n"/>
      <c r="B441" s="23" t="n"/>
      <c r="C441" s="23" t="n"/>
      <c r="D441" s="23" t="n"/>
      <c r="E441" s="17" t="n"/>
      <c r="F441" s="23" t="n"/>
      <c r="G441" s="23" t="n"/>
      <c r="H441" s="25">
        <f>IF(B441="","",IF(TRIM(G441&amp;"")="",1,LEN(G441)-LEN(SUBSTITUTE(G441,",",""))+2))</f>
        <v/>
      </c>
      <c r="I441" s="26">
        <f>IF(OR(B441="",E441="",H441=""),"",E441/H441)</f>
        <v/>
      </c>
    </row>
    <row r="442">
      <c r="A442" s="24" t="n"/>
      <c r="B442" s="23" t="n"/>
      <c r="C442" s="23" t="n"/>
      <c r="D442" s="23" t="n"/>
      <c r="E442" s="17" t="n"/>
      <c r="F442" s="23" t="n"/>
      <c r="G442" s="23" t="n"/>
      <c r="H442" s="25">
        <f>IF(B442="","",IF(TRIM(G442&amp;"")="",1,LEN(G442)-LEN(SUBSTITUTE(G442,",",""))+2))</f>
        <v/>
      </c>
      <c r="I442" s="26">
        <f>IF(OR(B442="",E442="",H442=""),"",E442/H442)</f>
        <v/>
      </c>
    </row>
    <row r="443">
      <c r="A443" s="24" t="n"/>
      <c r="B443" s="23" t="n"/>
      <c r="C443" s="23" t="n"/>
      <c r="D443" s="23" t="n"/>
      <c r="E443" s="17" t="n"/>
      <c r="F443" s="23" t="n"/>
      <c r="G443" s="23" t="n"/>
      <c r="H443" s="25">
        <f>IF(B443="","",IF(TRIM(G443&amp;"")="",1,LEN(G443)-LEN(SUBSTITUTE(G443,",",""))+2))</f>
        <v/>
      </c>
      <c r="I443" s="26">
        <f>IF(OR(B443="",E443="",H443=""),"",E443/H443)</f>
        <v/>
      </c>
    </row>
    <row r="444">
      <c r="A444" s="24" t="n"/>
      <c r="B444" s="23" t="n"/>
      <c r="C444" s="23" t="n"/>
      <c r="D444" s="23" t="n"/>
      <c r="E444" s="17" t="n"/>
      <c r="F444" s="23" t="n"/>
      <c r="G444" s="23" t="n"/>
      <c r="H444" s="25">
        <f>IF(B444="","",IF(TRIM(G444&amp;"")="",1,LEN(G444)-LEN(SUBSTITUTE(G444,",",""))+2))</f>
        <v/>
      </c>
      <c r="I444" s="26">
        <f>IF(OR(B444="",E444="",H444=""),"",E444/H444)</f>
        <v/>
      </c>
    </row>
    <row r="445">
      <c r="A445" s="24" t="n"/>
      <c r="B445" s="23" t="n"/>
      <c r="C445" s="23" t="n"/>
      <c r="D445" s="23" t="n"/>
      <c r="E445" s="17" t="n"/>
      <c r="F445" s="23" t="n"/>
      <c r="G445" s="23" t="n"/>
      <c r="H445" s="25">
        <f>IF(B445="","",IF(TRIM(G445&amp;"")="",1,LEN(G445)-LEN(SUBSTITUTE(G445,",",""))+2))</f>
        <v/>
      </c>
      <c r="I445" s="26">
        <f>IF(OR(B445="",E445="",H445=""),"",E445/H445)</f>
        <v/>
      </c>
    </row>
    <row r="446">
      <c r="A446" s="24" t="n"/>
      <c r="B446" s="23" t="n"/>
      <c r="C446" s="23" t="n"/>
      <c r="D446" s="23" t="n"/>
      <c r="E446" s="17" t="n"/>
      <c r="F446" s="23" t="n"/>
      <c r="G446" s="23" t="n"/>
      <c r="H446" s="25">
        <f>IF(B446="","",IF(TRIM(G446&amp;"")="",1,LEN(G446)-LEN(SUBSTITUTE(G446,",",""))+2))</f>
        <v/>
      </c>
      <c r="I446" s="26">
        <f>IF(OR(B446="",E446="",H446=""),"",E446/H446)</f>
        <v/>
      </c>
    </row>
    <row r="447">
      <c r="A447" s="24" t="n"/>
      <c r="B447" s="23" t="n"/>
      <c r="C447" s="23" t="n"/>
      <c r="D447" s="23" t="n"/>
      <c r="E447" s="17" t="n"/>
      <c r="F447" s="23" t="n"/>
      <c r="G447" s="23" t="n"/>
      <c r="H447" s="25">
        <f>IF(B447="","",IF(TRIM(G447&amp;"")="",1,LEN(G447)-LEN(SUBSTITUTE(G447,",",""))+2))</f>
        <v/>
      </c>
      <c r="I447" s="26">
        <f>IF(OR(B447="",E447="",H447=""),"",E447/H447)</f>
        <v/>
      </c>
    </row>
    <row r="448">
      <c r="A448" s="24" t="n"/>
      <c r="B448" s="23" t="n"/>
      <c r="C448" s="23" t="n"/>
      <c r="D448" s="23" t="n"/>
      <c r="E448" s="17" t="n"/>
      <c r="F448" s="23" t="n"/>
      <c r="G448" s="23" t="n"/>
      <c r="H448" s="25">
        <f>IF(B448="","",IF(TRIM(G448&amp;"")="",1,LEN(G448)-LEN(SUBSTITUTE(G448,",",""))+2))</f>
        <v/>
      </c>
      <c r="I448" s="26">
        <f>IF(OR(B448="",E448="",H448=""),"",E448/H448)</f>
        <v/>
      </c>
    </row>
    <row r="449">
      <c r="A449" s="24" t="n"/>
      <c r="B449" s="23" t="n"/>
      <c r="C449" s="23" t="n"/>
      <c r="D449" s="23" t="n"/>
      <c r="E449" s="17" t="n"/>
      <c r="F449" s="23" t="n"/>
      <c r="G449" s="23" t="n"/>
      <c r="H449" s="25">
        <f>IF(B449="","",IF(TRIM(G449&amp;"")="",1,LEN(G449)-LEN(SUBSTITUTE(G449,",",""))+2))</f>
        <v/>
      </c>
      <c r="I449" s="26">
        <f>IF(OR(B449="",E449="",H449=""),"",E449/H449)</f>
        <v/>
      </c>
    </row>
    <row r="450">
      <c r="A450" s="24" t="n"/>
      <c r="B450" s="23" t="n"/>
      <c r="C450" s="23" t="n"/>
      <c r="D450" s="23" t="n"/>
      <c r="E450" s="17" t="n"/>
      <c r="F450" s="23" t="n"/>
      <c r="G450" s="23" t="n"/>
      <c r="H450" s="25">
        <f>IF(B450="","",IF(TRIM(G450&amp;"")="",1,LEN(G450)-LEN(SUBSTITUTE(G450,",",""))+2))</f>
        <v/>
      </c>
      <c r="I450" s="26">
        <f>IF(OR(B450="",E450="",H450=""),"",E450/H450)</f>
        <v/>
      </c>
    </row>
    <row r="451">
      <c r="A451" s="24" t="n"/>
      <c r="B451" s="23" t="n"/>
      <c r="C451" s="23" t="n"/>
      <c r="D451" s="23" t="n"/>
      <c r="E451" s="17" t="n"/>
      <c r="F451" s="23" t="n"/>
      <c r="G451" s="23" t="n"/>
      <c r="H451" s="25">
        <f>IF(B451="","",IF(TRIM(G451&amp;"")="",1,LEN(G451)-LEN(SUBSTITUTE(G451,",",""))+2))</f>
        <v/>
      </c>
      <c r="I451" s="26">
        <f>IF(OR(B451="",E451="",H451=""),"",E451/H451)</f>
        <v/>
      </c>
    </row>
    <row r="452">
      <c r="A452" s="24" t="n"/>
      <c r="B452" s="23" t="n"/>
      <c r="C452" s="23" t="n"/>
      <c r="D452" s="23" t="n"/>
      <c r="E452" s="17" t="n"/>
      <c r="F452" s="23" t="n"/>
      <c r="G452" s="23" t="n"/>
      <c r="H452" s="25">
        <f>IF(B452="","",IF(TRIM(G452&amp;"")="",1,LEN(G452)-LEN(SUBSTITUTE(G452,",",""))+2))</f>
        <v/>
      </c>
      <c r="I452" s="26">
        <f>IF(OR(B452="",E452="",H452=""),"",E452/H452)</f>
        <v/>
      </c>
    </row>
    <row r="453">
      <c r="A453" s="24" t="n"/>
      <c r="B453" s="23" t="n"/>
      <c r="C453" s="23" t="n"/>
      <c r="D453" s="23" t="n"/>
      <c r="E453" s="17" t="n"/>
      <c r="F453" s="23" t="n"/>
      <c r="G453" s="23" t="n"/>
      <c r="H453" s="25">
        <f>IF(B453="","",IF(TRIM(G453&amp;"")="",1,LEN(G453)-LEN(SUBSTITUTE(G453,",",""))+2))</f>
        <v/>
      </c>
      <c r="I453" s="26">
        <f>IF(OR(B453="",E453="",H453=""),"",E453/H453)</f>
        <v/>
      </c>
    </row>
    <row r="454">
      <c r="A454" s="24" t="n"/>
      <c r="B454" s="23" t="n"/>
      <c r="C454" s="23" t="n"/>
      <c r="D454" s="23" t="n"/>
      <c r="E454" s="17" t="n"/>
      <c r="F454" s="23" t="n"/>
      <c r="G454" s="23" t="n"/>
      <c r="H454" s="25">
        <f>IF(B454="","",IF(TRIM(G454&amp;"")="",1,LEN(G454)-LEN(SUBSTITUTE(G454,",",""))+2))</f>
        <v/>
      </c>
      <c r="I454" s="26">
        <f>IF(OR(B454="",E454="",H454=""),"",E454/H454)</f>
        <v/>
      </c>
    </row>
    <row r="455">
      <c r="A455" s="24" t="n"/>
      <c r="B455" s="23" t="n"/>
      <c r="C455" s="23" t="n"/>
      <c r="D455" s="23" t="n"/>
      <c r="E455" s="17" t="n"/>
      <c r="F455" s="23" t="n"/>
      <c r="G455" s="23" t="n"/>
      <c r="H455" s="25">
        <f>IF(B455="","",IF(TRIM(G455&amp;"")="",1,LEN(G455)-LEN(SUBSTITUTE(G455,",",""))+2))</f>
        <v/>
      </c>
      <c r="I455" s="26">
        <f>IF(OR(B455="",E455="",H455=""),"",E455/H455)</f>
        <v/>
      </c>
    </row>
    <row r="456">
      <c r="A456" s="24" t="n"/>
      <c r="B456" s="23" t="n"/>
      <c r="C456" s="23" t="n"/>
      <c r="D456" s="23" t="n"/>
      <c r="E456" s="17" t="n"/>
      <c r="F456" s="23" t="n"/>
      <c r="G456" s="23" t="n"/>
      <c r="H456" s="25">
        <f>IF(B456="","",IF(TRIM(G456&amp;"")="",1,LEN(G456)-LEN(SUBSTITUTE(G456,",",""))+2))</f>
        <v/>
      </c>
      <c r="I456" s="26">
        <f>IF(OR(B456="",E456="",H456=""),"",E456/H456)</f>
        <v/>
      </c>
    </row>
    <row r="457">
      <c r="A457" s="24" t="n"/>
      <c r="B457" s="23" t="n"/>
      <c r="C457" s="23" t="n"/>
      <c r="D457" s="23" t="n"/>
      <c r="E457" s="17" t="n"/>
      <c r="F457" s="23" t="n"/>
      <c r="G457" s="23" t="n"/>
      <c r="H457" s="25">
        <f>IF(B457="","",IF(TRIM(G457&amp;"")="",1,LEN(G457)-LEN(SUBSTITUTE(G457,",",""))+2))</f>
        <v/>
      </c>
      <c r="I457" s="26">
        <f>IF(OR(B457="",E457="",H457=""),"",E457/H457)</f>
        <v/>
      </c>
    </row>
    <row r="458">
      <c r="A458" s="24" t="n"/>
      <c r="B458" s="23" t="n"/>
      <c r="C458" s="23" t="n"/>
      <c r="D458" s="23" t="n"/>
      <c r="E458" s="17" t="n"/>
      <c r="F458" s="23" t="n"/>
      <c r="G458" s="23" t="n"/>
      <c r="H458" s="25">
        <f>IF(B458="","",IF(TRIM(G458&amp;"")="",1,LEN(G458)-LEN(SUBSTITUTE(G458,",",""))+2))</f>
        <v/>
      </c>
      <c r="I458" s="26">
        <f>IF(OR(B458="",E458="",H458=""),"",E458/H458)</f>
        <v/>
      </c>
    </row>
    <row r="459">
      <c r="A459" s="24" t="n"/>
      <c r="B459" s="23" t="n"/>
      <c r="C459" s="23" t="n"/>
      <c r="D459" s="23" t="n"/>
      <c r="E459" s="17" t="n"/>
      <c r="F459" s="23" t="n"/>
      <c r="G459" s="23" t="n"/>
      <c r="H459" s="25">
        <f>IF(B459="","",IF(TRIM(G459&amp;"")="",1,LEN(G459)-LEN(SUBSTITUTE(G459,",",""))+2))</f>
        <v/>
      </c>
      <c r="I459" s="26">
        <f>IF(OR(B459="",E459="",H459=""),"",E459/H459)</f>
        <v/>
      </c>
    </row>
    <row r="460">
      <c r="A460" s="24" t="n"/>
      <c r="B460" s="23" t="n"/>
      <c r="C460" s="23" t="n"/>
      <c r="D460" s="23" t="n"/>
      <c r="E460" s="17" t="n"/>
      <c r="F460" s="23" t="n"/>
      <c r="G460" s="23" t="n"/>
      <c r="H460" s="25">
        <f>IF(B460="","",IF(TRIM(G460&amp;"")="",1,LEN(G460)-LEN(SUBSTITUTE(G460,",",""))+2))</f>
        <v/>
      </c>
      <c r="I460" s="26">
        <f>IF(OR(B460="",E460="",H460=""),"",E460/H460)</f>
        <v/>
      </c>
    </row>
    <row r="461">
      <c r="A461" s="24" t="n"/>
      <c r="B461" s="23" t="n"/>
      <c r="C461" s="23" t="n"/>
      <c r="D461" s="23" t="n"/>
      <c r="E461" s="17" t="n"/>
      <c r="F461" s="23" t="n"/>
      <c r="G461" s="23" t="n"/>
      <c r="H461" s="25">
        <f>IF(B461="","",IF(TRIM(G461&amp;"")="",1,LEN(G461)-LEN(SUBSTITUTE(G461,",",""))+2))</f>
        <v/>
      </c>
      <c r="I461" s="26">
        <f>IF(OR(B461="",E461="",H461=""),"",E461/H461)</f>
        <v/>
      </c>
    </row>
    <row r="462">
      <c r="A462" s="24" t="n"/>
      <c r="B462" s="23" t="n"/>
      <c r="C462" s="23" t="n"/>
      <c r="D462" s="23" t="n"/>
      <c r="E462" s="17" t="n"/>
      <c r="F462" s="23" t="n"/>
      <c r="G462" s="23" t="n"/>
      <c r="H462" s="25">
        <f>IF(B462="","",IF(TRIM(G462&amp;"")="",1,LEN(G462)-LEN(SUBSTITUTE(G462,",",""))+2))</f>
        <v/>
      </c>
      <c r="I462" s="26">
        <f>IF(OR(B462="",E462="",H462=""),"",E462/H462)</f>
        <v/>
      </c>
    </row>
    <row r="463">
      <c r="A463" s="24" t="n"/>
      <c r="B463" s="23" t="n"/>
      <c r="C463" s="23" t="n"/>
      <c r="D463" s="23" t="n"/>
      <c r="E463" s="17" t="n"/>
      <c r="F463" s="23" t="n"/>
      <c r="G463" s="23" t="n"/>
      <c r="H463" s="25">
        <f>IF(B463="","",IF(TRIM(G463&amp;"")="",1,LEN(G463)-LEN(SUBSTITUTE(G463,",",""))+2))</f>
        <v/>
      </c>
      <c r="I463" s="26">
        <f>IF(OR(B463="",E463="",H463=""),"",E463/H463)</f>
        <v/>
      </c>
    </row>
    <row r="464">
      <c r="A464" s="24" t="n"/>
      <c r="B464" s="23" t="n"/>
      <c r="C464" s="23" t="n"/>
      <c r="D464" s="23" t="n"/>
      <c r="E464" s="17" t="n"/>
      <c r="F464" s="23" t="n"/>
      <c r="G464" s="23" t="n"/>
      <c r="H464" s="25">
        <f>IF(B464="","",IF(TRIM(G464&amp;"")="",1,LEN(G464)-LEN(SUBSTITUTE(G464,",",""))+2))</f>
        <v/>
      </c>
      <c r="I464" s="26">
        <f>IF(OR(B464="",E464="",H464=""),"",E464/H464)</f>
        <v/>
      </c>
    </row>
    <row r="465">
      <c r="A465" s="24" t="n"/>
      <c r="B465" s="23" t="n"/>
      <c r="C465" s="23" t="n"/>
      <c r="D465" s="23" t="n"/>
      <c r="E465" s="17" t="n"/>
      <c r="F465" s="23" t="n"/>
      <c r="G465" s="23" t="n"/>
      <c r="H465" s="25">
        <f>IF(B465="","",IF(TRIM(G465&amp;"")="",1,LEN(G465)-LEN(SUBSTITUTE(G465,",",""))+2))</f>
        <v/>
      </c>
      <c r="I465" s="26">
        <f>IF(OR(B465="",E465="",H465=""),"",E465/H465)</f>
        <v/>
      </c>
    </row>
    <row r="466">
      <c r="A466" s="24" t="n"/>
      <c r="B466" s="23" t="n"/>
      <c r="C466" s="23" t="n"/>
      <c r="D466" s="23" t="n"/>
      <c r="E466" s="17" t="n"/>
      <c r="F466" s="23" t="n"/>
      <c r="G466" s="23" t="n"/>
      <c r="H466" s="25">
        <f>IF(B466="","",IF(TRIM(G466&amp;"")="",1,LEN(G466)-LEN(SUBSTITUTE(G466,",",""))+2))</f>
        <v/>
      </c>
      <c r="I466" s="26">
        <f>IF(OR(B466="",E466="",H466=""),"",E466/H466)</f>
        <v/>
      </c>
    </row>
    <row r="467">
      <c r="A467" s="24" t="n"/>
      <c r="B467" s="23" t="n"/>
      <c r="C467" s="23" t="n"/>
      <c r="D467" s="23" t="n"/>
      <c r="E467" s="17" t="n"/>
      <c r="F467" s="23" t="n"/>
      <c r="G467" s="23" t="n"/>
      <c r="H467" s="25">
        <f>IF(B467="","",IF(TRIM(G467&amp;"")="",1,LEN(G467)-LEN(SUBSTITUTE(G467,",",""))+2))</f>
        <v/>
      </c>
      <c r="I467" s="26">
        <f>IF(OR(B467="",E467="",H467=""),"",E467/H467)</f>
        <v/>
      </c>
    </row>
    <row r="468">
      <c r="A468" s="24" t="n"/>
      <c r="B468" s="23" t="n"/>
      <c r="C468" s="23" t="n"/>
      <c r="D468" s="23" t="n"/>
      <c r="E468" s="17" t="n"/>
      <c r="F468" s="23" t="n"/>
      <c r="G468" s="23" t="n"/>
      <c r="H468" s="25">
        <f>IF(B468="","",IF(TRIM(G468&amp;"")="",1,LEN(G468)-LEN(SUBSTITUTE(G468,",",""))+2))</f>
        <v/>
      </c>
      <c r="I468" s="26">
        <f>IF(OR(B468="",E468="",H468=""),"",E468/H468)</f>
        <v/>
      </c>
    </row>
    <row r="469">
      <c r="A469" s="24" t="n"/>
      <c r="B469" s="23" t="n"/>
      <c r="C469" s="23" t="n"/>
      <c r="D469" s="23" t="n"/>
      <c r="E469" s="17" t="n"/>
      <c r="F469" s="23" t="n"/>
      <c r="G469" s="23" t="n"/>
      <c r="H469" s="25">
        <f>IF(B469="","",IF(TRIM(G469&amp;"")="",1,LEN(G469)-LEN(SUBSTITUTE(G469,",",""))+2))</f>
        <v/>
      </c>
      <c r="I469" s="26">
        <f>IF(OR(B469="",E469="",H469=""),"",E469/H469)</f>
        <v/>
      </c>
    </row>
    <row r="470">
      <c r="A470" s="24" t="n"/>
      <c r="B470" s="23" t="n"/>
      <c r="C470" s="23" t="n"/>
      <c r="D470" s="23" t="n"/>
      <c r="E470" s="17" t="n"/>
      <c r="F470" s="23" t="n"/>
      <c r="G470" s="23" t="n"/>
      <c r="H470" s="25">
        <f>IF(B470="","",IF(TRIM(G470&amp;"")="",1,LEN(G470)-LEN(SUBSTITUTE(G470,",",""))+2))</f>
        <v/>
      </c>
      <c r="I470" s="26">
        <f>IF(OR(B470="",E470="",H470=""),"",E470/H470)</f>
        <v/>
      </c>
    </row>
    <row r="471">
      <c r="A471" s="24" t="n"/>
      <c r="B471" s="23" t="n"/>
      <c r="C471" s="23" t="n"/>
      <c r="D471" s="23" t="n"/>
      <c r="E471" s="17" t="n"/>
      <c r="F471" s="23" t="n"/>
      <c r="G471" s="23" t="n"/>
      <c r="H471" s="25">
        <f>IF(B471="","",IF(TRIM(G471&amp;"")="",1,LEN(G471)-LEN(SUBSTITUTE(G471,",",""))+2))</f>
        <v/>
      </c>
      <c r="I471" s="26">
        <f>IF(OR(B471="",E471="",H471=""),"",E471/H471)</f>
        <v/>
      </c>
    </row>
    <row r="472">
      <c r="A472" s="24" t="n"/>
      <c r="B472" s="23" t="n"/>
      <c r="C472" s="23" t="n"/>
      <c r="D472" s="23" t="n"/>
      <c r="E472" s="17" t="n"/>
      <c r="F472" s="23" t="n"/>
      <c r="G472" s="23" t="n"/>
      <c r="H472" s="25">
        <f>IF(B472="","",IF(TRIM(G472&amp;"")="",1,LEN(G472)-LEN(SUBSTITUTE(G472,",",""))+2))</f>
        <v/>
      </c>
      <c r="I472" s="26">
        <f>IF(OR(B472="",E472="",H472=""),"",E472/H472)</f>
        <v/>
      </c>
    </row>
    <row r="473">
      <c r="A473" s="24" t="n"/>
      <c r="B473" s="23" t="n"/>
      <c r="C473" s="23" t="n"/>
      <c r="D473" s="23" t="n"/>
      <c r="E473" s="17" t="n"/>
      <c r="F473" s="23" t="n"/>
      <c r="G473" s="23" t="n"/>
      <c r="H473" s="25">
        <f>IF(B473="","",IF(TRIM(G473&amp;"")="",1,LEN(G473)-LEN(SUBSTITUTE(G473,",",""))+2))</f>
        <v/>
      </c>
      <c r="I473" s="26">
        <f>IF(OR(B473="",E473="",H473=""),"",E473/H473)</f>
        <v/>
      </c>
    </row>
    <row r="474">
      <c r="A474" s="24" t="n"/>
      <c r="B474" s="23" t="n"/>
      <c r="C474" s="23" t="n"/>
      <c r="D474" s="23" t="n"/>
      <c r="E474" s="17" t="n"/>
      <c r="F474" s="23" t="n"/>
      <c r="G474" s="23" t="n"/>
      <c r="H474" s="25">
        <f>IF(B474="","",IF(TRIM(G474&amp;"")="",1,LEN(G474)-LEN(SUBSTITUTE(G474,",",""))+2))</f>
        <v/>
      </c>
      <c r="I474" s="26">
        <f>IF(OR(B474="",E474="",H474=""),"",E474/H474)</f>
        <v/>
      </c>
    </row>
    <row r="475">
      <c r="A475" s="24" t="n"/>
      <c r="B475" s="23" t="n"/>
      <c r="C475" s="23" t="n"/>
      <c r="D475" s="23" t="n"/>
      <c r="E475" s="17" t="n"/>
      <c r="F475" s="23" t="n"/>
      <c r="G475" s="23" t="n"/>
      <c r="H475" s="25">
        <f>IF(B475="","",IF(TRIM(G475&amp;"")="",1,LEN(G475)-LEN(SUBSTITUTE(G475,",",""))+2))</f>
        <v/>
      </c>
      <c r="I475" s="26">
        <f>IF(OR(B475="",E475="",H475=""),"",E475/H475)</f>
        <v/>
      </c>
    </row>
    <row r="476">
      <c r="A476" s="24" t="n"/>
      <c r="B476" s="23" t="n"/>
      <c r="C476" s="23" t="n"/>
      <c r="D476" s="23" t="n"/>
      <c r="E476" s="17" t="n"/>
      <c r="F476" s="23" t="n"/>
      <c r="G476" s="23" t="n"/>
      <c r="H476" s="25">
        <f>IF(B476="","",IF(TRIM(G476&amp;"")="",1,LEN(G476)-LEN(SUBSTITUTE(G476,",",""))+2))</f>
        <v/>
      </c>
      <c r="I476" s="26">
        <f>IF(OR(B476="",E476="",H476=""),"",E476/H476)</f>
        <v/>
      </c>
    </row>
    <row r="477">
      <c r="A477" s="24" t="n"/>
      <c r="B477" s="23" t="n"/>
      <c r="C477" s="23" t="n"/>
      <c r="D477" s="23" t="n"/>
      <c r="E477" s="17" t="n"/>
      <c r="F477" s="23" t="n"/>
      <c r="G477" s="23" t="n"/>
      <c r="H477" s="25">
        <f>IF(B477="","",IF(TRIM(G477&amp;"")="",1,LEN(G477)-LEN(SUBSTITUTE(G477,",",""))+2))</f>
        <v/>
      </c>
      <c r="I477" s="26">
        <f>IF(OR(B477="",E477="",H477=""),"",E477/H477)</f>
        <v/>
      </c>
    </row>
    <row r="478">
      <c r="A478" s="24" t="n"/>
      <c r="B478" s="23" t="n"/>
      <c r="C478" s="23" t="n"/>
      <c r="D478" s="23" t="n"/>
      <c r="E478" s="17" t="n"/>
      <c r="F478" s="23" t="n"/>
      <c r="G478" s="23" t="n"/>
      <c r="H478" s="25">
        <f>IF(B478="","",IF(TRIM(G478&amp;"")="",1,LEN(G478)-LEN(SUBSTITUTE(G478,",",""))+2))</f>
        <v/>
      </c>
      <c r="I478" s="26">
        <f>IF(OR(B478="",E478="",H478=""),"",E478/H478)</f>
        <v/>
      </c>
    </row>
    <row r="479">
      <c r="A479" s="24" t="n"/>
      <c r="B479" s="23" t="n"/>
      <c r="C479" s="23" t="n"/>
      <c r="D479" s="23" t="n"/>
      <c r="E479" s="17" t="n"/>
      <c r="F479" s="23" t="n"/>
      <c r="G479" s="23" t="n"/>
      <c r="H479" s="25">
        <f>IF(B479="","",IF(TRIM(G479&amp;"")="",1,LEN(G479)-LEN(SUBSTITUTE(G479,",",""))+2))</f>
        <v/>
      </c>
      <c r="I479" s="26">
        <f>IF(OR(B479="",E479="",H479=""),"",E479/H479)</f>
        <v/>
      </c>
    </row>
    <row r="480">
      <c r="A480" s="24" t="n"/>
      <c r="B480" s="23" t="n"/>
      <c r="C480" s="23" t="n"/>
      <c r="D480" s="23" t="n"/>
      <c r="E480" s="17" t="n"/>
      <c r="F480" s="23" t="n"/>
      <c r="G480" s="23" t="n"/>
      <c r="H480" s="25">
        <f>IF(B480="","",IF(TRIM(G480&amp;"")="",1,LEN(G480)-LEN(SUBSTITUTE(G480,",",""))+2))</f>
        <v/>
      </c>
      <c r="I480" s="26">
        <f>IF(OR(B480="",E480="",H480=""),"",E480/H480)</f>
        <v/>
      </c>
    </row>
    <row r="481">
      <c r="A481" s="24" t="n"/>
      <c r="B481" s="23" t="n"/>
      <c r="C481" s="23" t="n"/>
      <c r="D481" s="23" t="n"/>
      <c r="E481" s="17" t="n"/>
      <c r="F481" s="23" t="n"/>
      <c r="G481" s="23" t="n"/>
      <c r="H481" s="25">
        <f>IF(B481="","",IF(TRIM(G481&amp;"")="",1,LEN(G481)-LEN(SUBSTITUTE(G481,",",""))+2))</f>
        <v/>
      </c>
      <c r="I481" s="26">
        <f>IF(OR(B481="",E481="",H481=""),"",E481/H481)</f>
        <v/>
      </c>
    </row>
    <row r="482">
      <c r="A482" s="24" t="n"/>
      <c r="B482" s="23" t="n"/>
      <c r="C482" s="23" t="n"/>
      <c r="D482" s="23" t="n"/>
      <c r="E482" s="17" t="n"/>
      <c r="F482" s="23" t="n"/>
      <c r="G482" s="23" t="n"/>
      <c r="H482" s="25">
        <f>IF(B482="","",IF(TRIM(G482&amp;"")="",1,LEN(G482)-LEN(SUBSTITUTE(G482,",",""))+2))</f>
        <v/>
      </c>
      <c r="I482" s="26">
        <f>IF(OR(B482="",E482="",H482=""),"",E482/H482)</f>
        <v/>
      </c>
    </row>
    <row r="483">
      <c r="A483" s="24" t="n"/>
      <c r="B483" s="23" t="n"/>
      <c r="C483" s="23" t="n"/>
      <c r="D483" s="23" t="n"/>
      <c r="E483" s="17" t="n"/>
      <c r="F483" s="23" t="n"/>
      <c r="G483" s="23" t="n"/>
      <c r="H483" s="25">
        <f>IF(B483="","",IF(TRIM(G483&amp;"")="",1,LEN(G483)-LEN(SUBSTITUTE(G483,",",""))+2))</f>
        <v/>
      </c>
      <c r="I483" s="26">
        <f>IF(OR(B483="",E483="",H483=""),"",E483/H483)</f>
        <v/>
      </c>
    </row>
    <row r="484">
      <c r="A484" s="24" t="n"/>
      <c r="B484" s="23" t="n"/>
      <c r="C484" s="23" t="n"/>
      <c r="D484" s="23" t="n"/>
      <c r="E484" s="17" t="n"/>
      <c r="F484" s="23" t="n"/>
      <c r="G484" s="23" t="n"/>
      <c r="H484" s="25">
        <f>IF(B484="","",IF(TRIM(G484&amp;"")="",1,LEN(G484)-LEN(SUBSTITUTE(G484,",",""))+2))</f>
        <v/>
      </c>
      <c r="I484" s="26">
        <f>IF(OR(B484="",E484="",H484=""),"",E484/H484)</f>
        <v/>
      </c>
    </row>
    <row r="485">
      <c r="A485" s="24" t="n"/>
      <c r="B485" s="23" t="n"/>
      <c r="C485" s="23" t="n"/>
      <c r="D485" s="23" t="n"/>
      <c r="E485" s="17" t="n"/>
      <c r="F485" s="23" t="n"/>
      <c r="G485" s="23" t="n"/>
      <c r="H485" s="25">
        <f>IF(B485="","",IF(TRIM(G485&amp;"")="",1,LEN(G485)-LEN(SUBSTITUTE(G485,",",""))+2))</f>
        <v/>
      </c>
      <c r="I485" s="26">
        <f>IF(OR(B485="",E485="",H485=""),"",E485/H485)</f>
        <v/>
      </c>
    </row>
    <row r="486">
      <c r="A486" s="24" t="n"/>
      <c r="B486" s="23" t="n"/>
      <c r="C486" s="23" t="n"/>
      <c r="D486" s="23" t="n"/>
      <c r="E486" s="17" t="n"/>
      <c r="F486" s="23" t="n"/>
      <c r="G486" s="23" t="n"/>
      <c r="H486" s="25">
        <f>IF(B486="","",IF(TRIM(G486&amp;"")="",1,LEN(G486)-LEN(SUBSTITUTE(G486,",",""))+2))</f>
        <v/>
      </c>
      <c r="I486" s="26">
        <f>IF(OR(B486="",E486="",H486=""),"",E486/H486)</f>
        <v/>
      </c>
    </row>
    <row r="487">
      <c r="A487" s="24" t="n"/>
      <c r="B487" s="23" t="n"/>
      <c r="C487" s="23" t="n"/>
      <c r="D487" s="23" t="n"/>
      <c r="E487" s="17" t="n"/>
      <c r="F487" s="23" t="n"/>
      <c r="G487" s="23" t="n"/>
      <c r="H487" s="25">
        <f>IF(B487="","",IF(TRIM(G487&amp;"")="",1,LEN(G487)-LEN(SUBSTITUTE(G487,",",""))+2))</f>
        <v/>
      </c>
      <c r="I487" s="26">
        <f>IF(OR(B487="",E487="",H487=""),"",E487/H487)</f>
        <v/>
      </c>
    </row>
    <row r="488">
      <c r="A488" s="24" t="n"/>
      <c r="B488" s="23" t="n"/>
      <c r="C488" s="23" t="n"/>
      <c r="D488" s="23" t="n"/>
      <c r="E488" s="17" t="n"/>
      <c r="F488" s="23" t="n"/>
      <c r="G488" s="23" t="n"/>
      <c r="H488" s="25">
        <f>IF(B488="","",IF(TRIM(G488&amp;"")="",1,LEN(G488)-LEN(SUBSTITUTE(G488,",",""))+2))</f>
        <v/>
      </c>
      <c r="I488" s="26">
        <f>IF(OR(B488="",E488="",H488=""),"",E488/H488)</f>
        <v/>
      </c>
    </row>
    <row r="489">
      <c r="A489" s="24" t="n"/>
      <c r="B489" s="23" t="n"/>
      <c r="C489" s="23" t="n"/>
      <c r="D489" s="23" t="n"/>
      <c r="E489" s="17" t="n"/>
      <c r="F489" s="23" t="n"/>
      <c r="G489" s="23" t="n"/>
      <c r="H489" s="25">
        <f>IF(B489="","",IF(TRIM(G489&amp;"")="",1,LEN(G489)-LEN(SUBSTITUTE(G489,",",""))+2))</f>
        <v/>
      </c>
      <c r="I489" s="26">
        <f>IF(OR(B489="",E489="",H489=""),"",E489/H489)</f>
        <v/>
      </c>
    </row>
    <row r="490">
      <c r="A490" s="24" t="n"/>
      <c r="B490" s="23" t="n"/>
      <c r="C490" s="23" t="n"/>
      <c r="D490" s="23" t="n"/>
      <c r="E490" s="17" t="n"/>
      <c r="F490" s="23" t="n"/>
      <c r="G490" s="23" t="n"/>
      <c r="H490" s="25">
        <f>IF(B490="","",IF(TRIM(G490&amp;"")="",1,LEN(G490)-LEN(SUBSTITUTE(G490,",",""))+2))</f>
        <v/>
      </c>
      <c r="I490" s="26">
        <f>IF(OR(B490="",E490="",H490=""),"",E490/H490)</f>
        <v/>
      </c>
    </row>
    <row r="491">
      <c r="A491" s="24" t="n"/>
      <c r="B491" s="23" t="n"/>
      <c r="C491" s="23" t="n"/>
      <c r="D491" s="23" t="n"/>
      <c r="E491" s="17" t="n"/>
      <c r="F491" s="23" t="n"/>
      <c r="G491" s="23" t="n"/>
      <c r="H491" s="25">
        <f>IF(B491="","",IF(TRIM(G491&amp;"")="",1,LEN(G491)-LEN(SUBSTITUTE(G491,",",""))+2))</f>
        <v/>
      </c>
      <c r="I491" s="26">
        <f>IF(OR(B491="",E491="",H491=""),"",E491/H491)</f>
        <v/>
      </c>
    </row>
    <row r="492">
      <c r="A492" s="24" t="n"/>
      <c r="B492" s="23" t="n"/>
      <c r="C492" s="23" t="n"/>
      <c r="D492" s="23" t="n"/>
      <c r="E492" s="17" t="n"/>
      <c r="F492" s="23" t="n"/>
      <c r="G492" s="23" t="n"/>
      <c r="H492" s="25">
        <f>IF(B492="","",IF(TRIM(G492&amp;"")="",1,LEN(G492)-LEN(SUBSTITUTE(G492,",",""))+2))</f>
        <v/>
      </c>
      <c r="I492" s="26">
        <f>IF(OR(B492="",E492="",H492=""),"",E492/H492)</f>
        <v/>
      </c>
    </row>
    <row r="493">
      <c r="A493" s="24" t="n"/>
      <c r="B493" s="23" t="n"/>
      <c r="C493" s="23" t="n"/>
      <c r="D493" s="23" t="n"/>
      <c r="E493" s="17" t="n"/>
      <c r="F493" s="23" t="n"/>
      <c r="G493" s="23" t="n"/>
      <c r="H493" s="25">
        <f>IF(B493="","",IF(TRIM(G493&amp;"")="",1,LEN(G493)-LEN(SUBSTITUTE(G493,",",""))+2))</f>
        <v/>
      </c>
      <c r="I493" s="26">
        <f>IF(OR(B493="",E493="",H493=""),"",E493/H493)</f>
        <v/>
      </c>
    </row>
    <row r="494">
      <c r="A494" s="24" t="n"/>
      <c r="B494" s="23" t="n"/>
      <c r="C494" s="23" t="n"/>
      <c r="D494" s="23" t="n"/>
      <c r="E494" s="17" t="n"/>
      <c r="F494" s="23" t="n"/>
      <c r="G494" s="23" t="n"/>
      <c r="H494" s="25">
        <f>IF(B494="","",IF(TRIM(G494&amp;"")="",1,LEN(G494)-LEN(SUBSTITUTE(G494,",",""))+2))</f>
        <v/>
      </c>
      <c r="I494" s="26">
        <f>IF(OR(B494="",E494="",H494=""),"",E494/H494)</f>
        <v/>
      </c>
    </row>
    <row r="495">
      <c r="A495" s="24" t="n"/>
      <c r="B495" s="23" t="n"/>
      <c r="C495" s="23" t="n"/>
      <c r="D495" s="23" t="n"/>
      <c r="E495" s="17" t="n"/>
      <c r="F495" s="23" t="n"/>
      <c r="G495" s="23" t="n"/>
      <c r="H495" s="25">
        <f>IF(B495="","",IF(TRIM(G495&amp;"")="",1,LEN(G495)-LEN(SUBSTITUTE(G495,",",""))+2))</f>
        <v/>
      </c>
      <c r="I495" s="26">
        <f>IF(OR(B495="",E495="",H495=""),"",E495/H495)</f>
        <v/>
      </c>
    </row>
    <row r="496">
      <c r="A496" s="24" t="n"/>
      <c r="B496" s="23" t="n"/>
      <c r="C496" s="23" t="n"/>
      <c r="D496" s="23" t="n"/>
      <c r="E496" s="17" t="n"/>
      <c r="F496" s="23" t="n"/>
      <c r="G496" s="23" t="n"/>
      <c r="H496" s="25">
        <f>IF(B496="","",IF(TRIM(G496&amp;"")="",1,LEN(G496)-LEN(SUBSTITUTE(G496,",",""))+2))</f>
        <v/>
      </c>
      <c r="I496" s="26">
        <f>IF(OR(B496="",E496="",H496=""),"",E496/H496)</f>
        <v/>
      </c>
    </row>
    <row r="497">
      <c r="A497" s="24" t="n"/>
      <c r="B497" s="23" t="n"/>
      <c r="C497" s="23" t="n"/>
      <c r="D497" s="23" t="n"/>
      <c r="E497" s="17" t="n"/>
      <c r="F497" s="23" t="n"/>
      <c r="G497" s="23" t="n"/>
      <c r="H497" s="25">
        <f>IF(B497="","",IF(TRIM(G497&amp;"")="",1,LEN(G497)-LEN(SUBSTITUTE(G497,",",""))+2))</f>
        <v/>
      </c>
      <c r="I497" s="26">
        <f>IF(OR(B497="",E497="",H497=""),"",E497/H497)</f>
        <v/>
      </c>
    </row>
    <row r="498">
      <c r="A498" s="24" t="n"/>
      <c r="B498" s="23" t="n"/>
      <c r="C498" s="23" t="n"/>
      <c r="D498" s="23" t="n"/>
      <c r="E498" s="17" t="n"/>
      <c r="F498" s="23" t="n"/>
      <c r="G498" s="23" t="n"/>
      <c r="H498" s="25">
        <f>IF(B498="","",IF(TRIM(G498&amp;"")="",1,LEN(G498)-LEN(SUBSTITUTE(G498,",",""))+2))</f>
        <v/>
      </c>
      <c r="I498" s="26">
        <f>IF(OR(B498="",E498="",H498=""),"",E498/H498)</f>
        <v/>
      </c>
    </row>
    <row r="499">
      <c r="A499" s="24" t="n"/>
      <c r="B499" s="23" t="n"/>
      <c r="C499" s="23" t="n"/>
      <c r="D499" s="23" t="n"/>
      <c r="E499" s="17" t="n"/>
      <c r="F499" s="23" t="n"/>
      <c r="G499" s="23" t="n"/>
      <c r="H499" s="25">
        <f>IF(B499="","",IF(TRIM(G499&amp;"")="",1,LEN(G499)-LEN(SUBSTITUTE(G499,",",""))+2))</f>
        <v/>
      </c>
      <c r="I499" s="26">
        <f>IF(OR(B499="",E499="",H499=""),"",E499/H499)</f>
        <v/>
      </c>
    </row>
    <row r="500">
      <c r="A500" s="24" t="n"/>
      <c r="B500" s="23" t="n"/>
      <c r="C500" s="23" t="n"/>
      <c r="D500" s="23" t="n"/>
      <c r="E500" s="17" t="n"/>
      <c r="F500" s="23" t="n"/>
      <c r="G500" s="23" t="n"/>
      <c r="H500" s="25">
        <f>IF(B500="","",IF(TRIM(G500&amp;"")="",1,LEN(G500)-LEN(SUBSTITUTE(G500,",",""))+2))</f>
        <v/>
      </c>
      <c r="I500" s="26">
        <f>IF(OR(B500="",E500="",H500=""),"",E500/H500)</f>
        <v/>
      </c>
    </row>
    <row r="501">
      <c r="A501" s="24" t="n"/>
      <c r="B501" s="23" t="n"/>
      <c r="C501" s="23" t="n"/>
      <c r="D501" s="23" t="n"/>
      <c r="E501" s="17" t="n"/>
      <c r="F501" s="23" t="n"/>
      <c r="G501" s="23" t="n"/>
      <c r="H501" s="25">
        <f>IF(B501="","",IF(TRIM(G501&amp;"")="",1,LEN(G501)-LEN(SUBSTITUTE(G501,",",""))+2))</f>
        <v/>
      </c>
      <c r="I501" s="26">
        <f>IF(OR(B501="",E501="",H501=""),"",E501/H501)</f>
        <v/>
      </c>
    </row>
    <row r="502">
      <c r="A502" s="24" t="n"/>
      <c r="B502" s="23" t="n"/>
      <c r="C502" s="23" t="n"/>
      <c r="D502" s="23" t="n"/>
      <c r="E502" s="17" t="n"/>
      <c r="F502" s="23" t="n"/>
      <c r="G502" s="23" t="n"/>
      <c r="H502" s="25">
        <f>IF(B502="","",IF(TRIM(G502&amp;"")="",1,LEN(G502)-LEN(SUBSTITUTE(G502,",",""))+2))</f>
        <v/>
      </c>
      <c r="I502" s="26">
        <f>IF(OR(B502="",E502="",H502=""),"",E502/H502)</f>
        <v/>
      </c>
    </row>
    <row r="503">
      <c r="A503" s="24" t="n"/>
      <c r="B503" s="23" t="n"/>
      <c r="C503" s="23" t="n"/>
      <c r="D503" s="23" t="n"/>
      <c r="E503" s="17" t="n"/>
      <c r="F503" s="23" t="n"/>
      <c r="G503" s="23" t="n"/>
      <c r="H503" s="25">
        <f>IF(B503="","",IF(TRIM(G503&amp;"")="",1,LEN(G503)-LEN(SUBSTITUTE(G503,",",""))+2))</f>
        <v/>
      </c>
      <c r="I503" s="26">
        <f>IF(OR(B503="",E503="",H503=""),"",E503/H503)</f>
        <v/>
      </c>
    </row>
    <row r="504">
      <c r="A504" s="24" t="n"/>
      <c r="B504" s="23" t="n"/>
      <c r="C504" s="23" t="n"/>
      <c r="D504" s="23" t="n"/>
      <c r="E504" s="17" t="n"/>
      <c r="F504" s="23" t="n"/>
      <c r="G504" s="23" t="n"/>
      <c r="H504" s="25">
        <f>IF(B504="","",IF(TRIM(G504&amp;"")="",1,LEN(G504)-LEN(SUBSTITUTE(G504,",",""))+2))</f>
        <v/>
      </c>
      <c r="I504" s="26">
        <f>IF(OR(B504="",E504="",H504=""),"",E504/H504)</f>
        <v/>
      </c>
    </row>
  </sheetData>
  <mergeCells count="1">
    <mergeCell ref="A2:I2"/>
  </mergeCells>
  <dataValidations count="2">
    <dataValidation sqref="B5:B504" showDropDown="0" showInputMessage="0" showErrorMessage="0" allowBlank="1" errorTitle="이름 확인" error="멤버 시트에 등록된 이름만 선택할 수 있습니다." promptTitle="이름 선택" prompt="멤버 시트에 등록된 이름을 선택하세요." type="list">
      <formula1>=멤버!$A$5:$A$34</formula1>
    </dataValidation>
    <dataValidation sqref="C5:C504" showDropDown="0" showInputMessage="0" showErrorMessage="0" allowBlank="1" type="list">
      <formula1>"도서,교육,툴/구독,세미나/컨퍼런스,팀빌딩,기타"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 ht="30" customHeight="1">
      <c r="A1" s="1" t="inlineStr">
        <is>
          <t>카테고리별 사용 현황</t>
        </is>
      </c>
    </row>
    <row r="3">
      <c r="A3" s="11" t="inlineStr">
        <is>
          <t>카테고리</t>
        </is>
      </c>
      <c r="B3" s="11" t="inlineStr">
        <is>
          <t>사용액</t>
        </is>
      </c>
      <c r="C3" s="11" t="inlineStr">
        <is>
          <t>비중</t>
        </is>
      </c>
    </row>
    <row r="4">
      <c r="A4" s="12" t="inlineStr">
        <is>
          <t>도서</t>
        </is>
      </c>
      <c r="B4" s="13">
        <f>SUMIFS(사용_금액,사용내역!$C$5:$C$504,A4)</f>
        <v/>
      </c>
      <c r="C4" s="14">
        <f>IFERROR(B4/총예산,0)</f>
        <v/>
      </c>
    </row>
    <row r="5">
      <c r="A5" s="12" t="inlineStr">
        <is>
          <t>교육</t>
        </is>
      </c>
      <c r="B5" s="13">
        <f>SUMIFS(사용_금액,사용내역!$C$5:$C$504,A5)</f>
        <v/>
      </c>
      <c r="C5" s="14">
        <f>IFERROR(B5/총예산,0)</f>
        <v/>
      </c>
    </row>
    <row r="6">
      <c r="A6" s="12" t="inlineStr">
        <is>
          <t>툴/구독</t>
        </is>
      </c>
      <c r="B6" s="13">
        <f>SUMIFS(사용_금액,사용내역!$C$5:$C$504,A6)</f>
        <v/>
      </c>
      <c r="C6" s="14">
        <f>IFERROR(B6/총예산,0)</f>
        <v/>
      </c>
    </row>
    <row r="7">
      <c r="A7" s="12" t="inlineStr">
        <is>
          <t>세미나/컨퍼런스</t>
        </is>
      </c>
      <c r="B7" s="13">
        <f>SUMIFS(사용_금액,사용내역!$C$5:$C$504,A7)</f>
        <v/>
      </c>
      <c r="C7" s="14">
        <f>IFERROR(B7/총예산,0)</f>
        <v/>
      </c>
    </row>
    <row r="8">
      <c r="A8" s="12" t="inlineStr">
        <is>
          <t>팀빌딩</t>
        </is>
      </c>
      <c r="B8" s="13">
        <f>SUMIFS(사용_금액,사용내역!$C$5:$C$504,A8)</f>
        <v/>
      </c>
      <c r="C8" s="14">
        <f>IFERROR(B8/총예산,0)</f>
        <v/>
      </c>
    </row>
    <row r="9">
      <c r="A9" s="12" t="inlineStr">
        <is>
          <t>기타</t>
        </is>
      </c>
      <c r="B9" s="13">
        <f>SUMIFS(사용_금액,사용내역!$C$5:$C$504,A9)</f>
        <v/>
      </c>
      <c r="C9" s="14">
        <f>IFERROR(B9/총예산,0)</f>
        <v/>
      </c>
    </row>
    <row r="10">
      <c r="A10" s="3" t="inlineStr">
        <is>
          <t>합계</t>
        </is>
      </c>
      <c r="B10" s="27">
        <f>SUM(B4:B9)</f>
        <v/>
      </c>
      <c r="C10" s="28">
        <f>IFERROR(B10/총예산,0)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2026-04-27T08:25:22Z</dcterms:created>
  <dcterms:modified xsi:type="dcterms:W3CDTF">2026-04-27T08:25:22Z</dcterms:modified>
</cp:coreProperties>
</file>